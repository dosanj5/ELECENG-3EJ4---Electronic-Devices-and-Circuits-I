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7.xml" ContentType="application/vnd.openxmlformats-officedocument.drawingml.chartshape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8.xml" ContentType="application/vnd.openxmlformats-officedocument.drawingml.chartshape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9.xml" ContentType="application/vnd.openxmlformats-officedocument.drawingml.chartshapes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0.xml" ContentType="application/vnd.openxmlformats-officedocument.drawingml.chartshapes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1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2.xml" ContentType="application/vnd.openxmlformats-officedocument.drawingml.chartshapes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3.xml" ContentType="application/vnd.openxmlformats-officedocument.drawingml.chartshapes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14.xml" ContentType="application/vnd.openxmlformats-officedocument.drawingml.chartshapes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5.xml" ContentType="application/vnd.openxmlformats-officedocument.drawingml.chartshapes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16.xml" ContentType="application/vnd.openxmlformats-officedocument.drawingml.chartshapes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7.xml" ContentType="application/vnd.openxmlformats-officedocument.drawingml.chartshapes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18.xml" ContentType="application/vnd.openxmlformats-officedocument.drawingml.chartshapes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9.xml" ContentType="application/vnd.openxmlformats-officedocument.drawingml.chartshapes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20.xml" ContentType="application/vnd.openxmlformats-officedocument.drawingml.chartshapes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21.xml" ContentType="application/vnd.openxmlformats-officedocument.drawingml.chartshapes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22.xml" ContentType="application/vnd.openxmlformats-officedocument.drawingml.chartshapes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23.xml" ContentType="application/vnd.openxmlformats-officedocument.drawingml.chartshapes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26.xml" ContentType="application/vnd.openxmlformats-officedocument.drawingml.chartshapes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27.xml" ContentType="application/vnd.openxmlformats-officedocument.drawingml.chartshapes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28.xml" ContentType="application/vnd.openxmlformats-officedocument.drawingml.chartshapes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29.xml" ContentType="application/vnd.openxmlformats-officedocument.drawingml.chartshapes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30.xml" ContentType="application/vnd.openxmlformats-officedocument.drawingml.chartshapes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31.xml" ContentType="application/vnd.openxmlformats-officedocument.drawingml.chartshapes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32.xml" ContentType="application/vnd.openxmlformats-officedocument.drawingml.chartshapes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33.xml" ContentType="application/vnd.openxmlformats-officedocument.drawingml.chartshapes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34.xml" ContentType="application/vnd.openxmlformats-officedocument.drawingml.chartshapes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drawings/drawing35.xml" ContentType="application/vnd.openxmlformats-officedocument.drawingml.chartshapes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36.xml" ContentType="application/vnd.openxmlformats-officedocument.drawingml.chartshapes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drawings/drawing37.xml" ContentType="application/vnd.openxmlformats-officedocument.drawingml.chartshapes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38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osanj5\OneDrive - McMaster University\School Files\2025 - 2026\ELEC 3EJ4\Lab 1\"/>
    </mc:Choice>
  </mc:AlternateContent>
  <xr:revisionPtr revIDLastSave="0" documentId="13_ncr:1_{2DE7985D-4758-490A-85B5-5C48AF7E8245}" xr6:coauthVersionLast="47" xr6:coauthVersionMax="47" xr10:uidLastSave="{00000000-0000-0000-0000-000000000000}"/>
  <bookViews>
    <workbookView xWindow="-108" yWindow="-108" windowWidth="23256" windowHeight="13896" activeTab="4" xr2:uid="{A8B76C31-E4E8-4F4E-8EC9-1D34A6DC9ECA}"/>
  </bookViews>
  <sheets>
    <sheet name="Steps 1.2-1.4" sheetId="2" r:id="rId1"/>
    <sheet name="Step 1.8" sheetId="3" r:id="rId2"/>
    <sheet name="Steps 2.2-2.4" sheetId="4" r:id="rId3"/>
    <sheet name="Step 2.8" sheetId="5" r:id="rId4"/>
    <sheet name="Part 1" sheetId="6" r:id="rId5"/>
    <sheet name="Part 2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1" i="6" l="1"/>
  <c r="R21" i="6"/>
  <c r="N21" i="6"/>
  <c r="M21" i="6"/>
  <c r="O21" i="6" s="1"/>
  <c r="J21" i="6"/>
  <c r="I21" i="6"/>
  <c r="N16" i="6"/>
  <c r="S16" i="6" s="1"/>
  <c r="M16" i="6"/>
  <c r="O16" i="6" s="1"/>
  <c r="J16" i="6"/>
  <c r="I16" i="6"/>
  <c r="N11" i="6"/>
  <c r="S11" i="6" s="1"/>
  <c r="M11" i="6"/>
  <c r="R11" i="6" s="1"/>
  <c r="J11" i="6"/>
  <c r="I11" i="6"/>
  <c r="N6" i="6"/>
  <c r="S6" i="6" s="1"/>
  <c r="M6" i="6"/>
  <c r="R6" i="6" s="1"/>
  <c r="J6" i="6"/>
  <c r="I6" i="6"/>
  <c r="E2" i="4"/>
  <c r="F2" i="4"/>
  <c r="I2" i="4"/>
  <c r="K2" i="4" s="1"/>
  <c r="J2" i="4"/>
  <c r="E3" i="4"/>
  <c r="F3" i="4"/>
  <c r="I3" i="4"/>
  <c r="J3" i="4"/>
  <c r="K3" i="4"/>
  <c r="E4" i="4"/>
  <c r="F4" i="4"/>
  <c r="I4" i="4"/>
  <c r="J4" i="4"/>
  <c r="K4" i="4"/>
  <c r="E5" i="4"/>
  <c r="F5" i="4"/>
  <c r="I5" i="4"/>
  <c r="K5" i="4" s="1"/>
  <c r="J5" i="4"/>
  <c r="E6" i="4"/>
  <c r="F6" i="4"/>
  <c r="I6" i="4"/>
  <c r="N6" i="4" s="1"/>
  <c r="J6" i="4"/>
  <c r="E7" i="4"/>
  <c r="F7" i="4"/>
  <c r="I7" i="4"/>
  <c r="N7" i="4" s="1"/>
  <c r="J7" i="4"/>
  <c r="K7" i="4"/>
  <c r="E8" i="4"/>
  <c r="F8" i="4"/>
  <c r="I8" i="4"/>
  <c r="K8" i="4" s="1"/>
  <c r="J8" i="4"/>
  <c r="E9" i="4"/>
  <c r="F9" i="4"/>
  <c r="I9" i="4"/>
  <c r="J9" i="4"/>
  <c r="K9" i="4"/>
  <c r="E10" i="4"/>
  <c r="F10" i="4"/>
  <c r="I10" i="4"/>
  <c r="N10" i="4" s="1"/>
  <c r="J10" i="4"/>
  <c r="K10" i="4"/>
  <c r="E11" i="4"/>
  <c r="F11" i="4"/>
  <c r="I11" i="4"/>
  <c r="N11" i="4" s="1"/>
  <c r="J11" i="4"/>
  <c r="K11" i="4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Z7" i="5"/>
  <c r="Z8" i="5"/>
  <c r="Z9" i="5"/>
  <c r="Z10" i="5"/>
  <c r="Z11" i="5"/>
  <c r="Z12" i="5"/>
  <c r="Z13" i="5"/>
  <c r="L12" i="5"/>
  <c r="Z14" i="5"/>
  <c r="Z15" i="5"/>
  <c r="Z16" i="5"/>
  <c r="Z17" i="5"/>
  <c r="Z18" i="5"/>
  <c r="Z19" i="5"/>
  <c r="Z20" i="5"/>
  <c r="Z21" i="5"/>
  <c r="Z22" i="5"/>
  <c r="L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L42" i="5"/>
  <c r="Z44" i="5"/>
  <c r="Z45" i="5"/>
  <c r="Z46" i="5"/>
  <c r="Z47" i="5"/>
  <c r="Z48" i="5"/>
  <c r="Z49" i="5"/>
  <c r="Z50" i="5"/>
  <c r="Z51" i="5"/>
  <c r="Z52" i="5"/>
  <c r="Z53" i="5"/>
  <c r="L52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L72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6" i="5"/>
  <c r="Z7" i="4"/>
  <c r="Z8" i="4"/>
  <c r="Z9" i="4"/>
  <c r="Z10" i="4"/>
  <c r="Z11" i="4"/>
  <c r="Z12" i="4"/>
  <c r="Z13" i="4"/>
  <c r="L12" i="4" s="1"/>
  <c r="Z14" i="4"/>
  <c r="Z15" i="4"/>
  <c r="Z16" i="4"/>
  <c r="Z17" i="4"/>
  <c r="Z18" i="4"/>
  <c r="Z19" i="4"/>
  <c r="Z20" i="4"/>
  <c r="Z21" i="4"/>
  <c r="Z22" i="4"/>
  <c r="L22" i="4"/>
  <c r="Z23" i="4"/>
  <c r="Z24" i="4"/>
  <c r="Z25" i="4"/>
  <c r="Z26" i="4"/>
  <c r="Z27" i="4"/>
  <c r="Z28" i="4"/>
  <c r="Z29" i="4"/>
  <c r="Z30" i="4"/>
  <c r="Z31" i="4"/>
  <c r="Z32" i="4"/>
  <c r="Z33" i="4"/>
  <c r="L32" i="4" s="1"/>
  <c r="Z34" i="4"/>
  <c r="Z35" i="4"/>
  <c r="Z36" i="4"/>
  <c r="Z37" i="4"/>
  <c r="Z38" i="4"/>
  <c r="Z39" i="4"/>
  <c r="Z40" i="4"/>
  <c r="Z41" i="4"/>
  <c r="Z42" i="4"/>
  <c r="Z43" i="4"/>
  <c r="L42" i="4" s="1"/>
  <c r="Z44" i="4"/>
  <c r="Z45" i="4"/>
  <c r="Z46" i="4"/>
  <c r="Z47" i="4"/>
  <c r="Z48" i="4"/>
  <c r="Z49" i="4"/>
  <c r="Z50" i="4"/>
  <c r="Z51" i="4"/>
  <c r="Z52" i="4"/>
  <c r="Z53" i="4"/>
  <c r="L52" i="4"/>
  <c r="Z54" i="4"/>
  <c r="Z55" i="4"/>
  <c r="Z56" i="4"/>
  <c r="Z57" i="4"/>
  <c r="Z58" i="4"/>
  <c r="Z59" i="4"/>
  <c r="Z60" i="4"/>
  <c r="Z61" i="4"/>
  <c r="Z62" i="4"/>
  <c r="Z63" i="4"/>
  <c r="L62" i="4" s="1"/>
  <c r="Z64" i="4"/>
  <c r="Z65" i="4"/>
  <c r="Z66" i="4"/>
  <c r="Z67" i="4"/>
  <c r="Z68" i="4"/>
  <c r="Z69" i="4"/>
  <c r="Z70" i="4"/>
  <c r="Z71" i="4"/>
  <c r="Z72" i="4"/>
  <c r="Z73" i="4"/>
  <c r="L72" i="4" s="1"/>
  <c r="Z74" i="4"/>
  <c r="Z75" i="4"/>
  <c r="Z76" i="4"/>
  <c r="Z77" i="4"/>
  <c r="Z78" i="4"/>
  <c r="Z79" i="4"/>
  <c r="Z80" i="4"/>
  <c r="Z81" i="4"/>
  <c r="Z82" i="4"/>
  <c r="Z83" i="4"/>
  <c r="L82" i="4" s="1"/>
  <c r="Z84" i="4"/>
  <c r="Z85" i="4"/>
  <c r="Z86" i="4"/>
  <c r="Z87" i="4"/>
  <c r="Z88" i="4"/>
  <c r="Z89" i="4"/>
  <c r="Z90" i="4"/>
  <c r="Z91" i="4"/>
  <c r="Z6" i="4"/>
  <c r="L2" i="4" s="1"/>
  <c r="Z91" i="3"/>
  <c r="Z90" i="3"/>
  <c r="Z89" i="3"/>
  <c r="Z88" i="3"/>
  <c r="Z87" i="3"/>
  <c r="Z86" i="3"/>
  <c r="Z85" i="3"/>
  <c r="Z84" i="3"/>
  <c r="Z83" i="3"/>
  <c r="L82" i="3"/>
  <c r="Z82" i="3"/>
  <c r="Z81" i="3"/>
  <c r="Z80" i="3"/>
  <c r="Z79" i="3"/>
  <c r="Z78" i="3"/>
  <c r="Z77" i="3"/>
  <c r="Z76" i="3"/>
  <c r="Z75" i="3"/>
  <c r="Z74" i="3"/>
  <c r="Z73" i="3"/>
  <c r="Z72" i="3"/>
  <c r="Z71" i="3"/>
  <c r="Z70" i="3"/>
  <c r="Z69" i="3"/>
  <c r="Z68" i="3"/>
  <c r="Z67" i="3"/>
  <c r="Z66" i="3"/>
  <c r="Z65" i="3"/>
  <c r="Z64" i="3"/>
  <c r="Z63" i="3"/>
  <c r="L62" i="3"/>
  <c r="Z62" i="3"/>
  <c r="Z61" i="3"/>
  <c r="Z60" i="3"/>
  <c r="Z59" i="3"/>
  <c r="Z58" i="3"/>
  <c r="Z57" i="3"/>
  <c r="Z56" i="3"/>
  <c r="Z55" i="3"/>
  <c r="Z54" i="3"/>
  <c r="Z53" i="3"/>
  <c r="L52" i="3"/>
  <c r="Z52" i="3"/>
  <c r="Z51" i="3"/>
  <c r="Z50" i="3"/>
  <c r="Z49" i="3"/>
  <c r="Z48" i="3"/>
  <c r="Z47" i="3"/>
  <c r="Z46" i="3"/>
  <c r="Z45" i="3"/>
  <c r="Z44" i="3"/>
  <c r="Z43" i="3"/>
  <c r="Z42" i="3"/>
  <c r="Z41" i="3"/>
  <c r="Z40" i="3"/>
  <c r="Z39" i="3"/>
  <c r="Z38" i="3"/>
  <c r="Z37" i="3"/>
  <c r="Z36" i="3"/>
  <c r="Z35" i="3"/>
  <c r="Z34" i="3"/>
  <c r="Z33" i="3"/>
  <c r="Z32" i="3"/>
  <c r="Z31" i="3"/>
  <c r="Z30" i="3"/>
  <c r="Z29" i="3"/>
  <c r="Z28" i="3"/>
  <c r="Z27" i="3"/>
  <c r="Z26" i="3"/>
  <c r="Z25" i="3"/>
  <c r="Z24" i="3"/>
  <c r="Z23" i="3"/>
  <c r="Z22" i="3"/>
  <c r="Z21" i="3"/>
  <c r="Z20" i="3"/>
  <c r="Z19" i="3"/>
  <c r="Z18" i="3"/>
  <c r="Z17" i="3"/>
  <c r="Z16" i="3"/>
  <c r="Z15" i="3"/>
  <c r="Z14" i="3"/>
  <c r="Z13" i="3"/>
  <c r="L12" i="3"/>
  <c r="Z12" i="3"/>
  <c r="Z11" i="3"/>
  <c r="Z10" i="3"/>
  <c r="Z9" i="3"/>
  <c r="Z8" i="3"/>
  <c r="Z7" i="3"/>
  <c r="L22" i="3"/>
  <c r="Z6" i="3"/>
  <c r="Z91" i="2"/>
  <c r="Z90" i="2"/>
  <c r="Z89" i="2"/>
  <c r="Z88" i="2"/>
  <c r="Z87" i="2"/>
  <c r="Z86" i="2"/>
  <c r="Z85" i="2"/>
  <c r="Z84" i="2"/>
  <c r="Z83" i="2"/>
  <c r="L82" i="2"/>
  <c r="Z82" i="2"/>
  <c r="Z81" i="2"/>
  <c r="Z80" i="2"/>
  <c r="Z79" i="2"/>
  <c r="Z78" i="2"/>
  <c r="Z77" i="2"/>
  <c r="Z76" i="2"/>
  <c r="Z75" i="2"/>
  <c r="Z74" i="2"/>
  <c r="Z73" i="2"/>
  <c r="Z72" i="2"/>
  <c r="Z71" i="2"/>
  <c r="Z70" i="2"/>
  <c r="Z69" i="2"/>
  <c r="Z68" i="2"/>
  <c r="Z67" i="2"/>
  <c r="Z66" i="2"/>
  <c r="Z65" i="2"/>
  <c r="Z64" i="2"/>
  <c r="Z63" i="2"/>
  <c r="L62" i="2"/>
  <c r="Z62" i="2"/>
  <c r="Z61" i="2"/>
  <c r="Z60" i="2"/>
  <c r="Z59" i="2"/>
  <c r="Z58" i="2"/>
  <c r="Z57" i="2"/>
  <c r="Z56" i="2"/>
  <c r="Z55" i="2"/>
  <c r="Z54" i="2"/>
  <c r="Z53" i="2"/>
  <c r="L52" i="2"/>
  <c r="Z52" i="2"/>
  <c r="Z51" i="2"/>
  <c r="Z50" i="2"/>
  <c r="Z49" i="2"/>
  <c r="Z48" i="2"/>
  <c r="Z47" i="2"/>
  <c r="Z46" i="2"/>
  <c r="Z45" i="2"/>
  <c r="Z44" i="2"/>
  <c r="Z43" i="2"/>
  <c r="Z42" i="2"/>
  <c r="Z41" i="2"/>
  <c r="Z40" i="2"/>
  <c r="Z39" i="2"/>
  <c r="Z38" i="2"/>
  <c r="Z37" i="2"/>
  <c r="Z36" i="2"/>
  <c r="Z3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L12" i="2"/>
  <c r="Z12" i="2"/>
  <c r="Z11" i="2"/>
  <c r="Z10" i="2"/>
  <c r="Z9" i="2"/>
  <c r="Z8" i="2"/>
  <c r="Z7" i="2"/>
  <c r="L22" i="2"/>
  <c r="L72" i="2"/>
  <c r="Z6" i="2"/>
  <c r="L2" i="2"/>
  <c r="Y53" i="3"/>
  <c r="Y63" i="3"/>
  <c r="L62" i="5"/>
  <c r="L32" i="5"/>
  <c r="L82" i="5"/>
  <c r="L2" i="5"/>
  <c r="L2" i="3"/>
  <c r="M8" i="3"/>
  <c r="E2" i="3"/>
  <c r="F2" i="3"/>
  <c r="I2" i="3"/>
  <c r="K2" i="3"/>
  <c r="J2" i="3"/>
  <c r="E3" i="3"/>
  <c r="F3" i="3"/>
  <c r="I3" i="3"/>
  <c r="J3" i="3"/>
  <c r="K3" i="3"/>
  <c r="E4" i="3"/>
  <c r="F4" i="3"/>
  <c r="I4" i="3"/>
  <c r="J4" i="3"/>
  <c r="E5" i="3"/>
  <c r="F5" i="3"/>
  <c r="I5" i="3"/>
  <c r="K5" i="3"/>
  <c r="J5" i="3"/>
  <c r="E6" i="3"/>
  <c r="F6" i="3"/>
  <c r="I6" i="3"/>
  <c r="J6" i="3"/>
  <c r="K6" i="3"/>
  <c r="E7" i="3"/>
  <c r="F7" i="3"/>
  <c r="I7" i="3"/>
  <c r="J7" i="3"/>
  <c r="E8" i="3"/>
  <c r="F8" i="3"/>
  <c r="I8" i="3"/>
  <c r="J8" i="3"/>
  <c r="K8" i="3"/>
  <c r="E9" i="3"/>
  <c r="F9" i="3"/>
  <c r="I9" i="3"/>
  <c r="J9" i="3"/>
  <c r="K9" i="3"/>
  <c r="E10" i="3"/>
  <c r="F10" i="3"/>
  <c r="I10" i="3"/>
  <c r="J10" i="3"/>
  <c r="E11" i="3"/>
  <c r="F11" i="3"/>
  <c r="I11" i="3"/>
  <c r="J11" i="3"/>
  <c r="K11" i="3"/>
  <c r="L72" i="3"/>
  <c r="L42" i="3"/>
  <c r="L32" i="3"/>
  <c r="L42" i="2"/>
  <c r="I12" i="3"/>
  <c r="I13" i="3"/>
  <c r="I14" i="3"/>
  <c r="I15" i="3"/>
  <c r="I21" i="3"/>
  <c r="I2" i="5"/>
  <c r="I3" i="5"/>
  <c r="I11" i="5"/>
  <c r="F2" i="5"/>
  <c r="L32" i="2"/>
  <c r="M7" i="3"/>
  <c r="M3" i="3"/>
  <c r="M6" i="3"/>
  <c r="M9" i="3"/>
  <c r="M5" i="3"/>
  <c r="M2" i="3"/>
  <c r="M11" i="3"/>
  <c r="M4" i="3"/>
  <c r="K10" i="3"/>
  <c r="M10" i="3"/>
  <c r="K4" i="3"/>
  <c r="K7" i="3"/>
  <c r="J91" i="4"/>
  <c r="O91" i="4"/>
  <c r="I91" i="4"/>
  <c r="N91" i="4" s="1"/>
  <c r="F91" i="4"/>
  <c r="E91" i="4"/>
  <c r="J90" i="4"/>
  <c r="O90" i="4"/>
  <c r="I90" i="4"/>
  <c r="N90" i="4"/>
  <c r="F90" i="4"/>
  <c r="E90" i="4"/>
  <c r="J89" i="4"/>
  <c r="O89" i="4"/>
  <c r="I89" i="4"/>
  <c r="N89" i="4"/>
  <c r="F89" i="4"/>
  <c r="E89" i="4"/>
  <c r="J88" i="4"/>
  <c r="O88" i="4" s="1"/>
  <c r="I88" i="4"/>
  <c r="N88" i="4" s="1"/>
  <c r="F88" i="4"/>
  <c r="E88" i="4"/>
  <c r="J87" i="4"/>
  <c r="O87" i="4"/>
  <c r="I87" i="4"/>
  <c r="K87" i="4" s="1"/>
  <c r="N87" i="4"/>
  <c r="F87" i="4"/>
  <c r="E87" i="4"/>
  <c r="J86" i="4"/>
  <c r="O86" i="4"/>
  <c r="I86" i="4"/>
  <c r="K86" i="4" s="1"/>
  <c r="N86" i="4"/>
  <c r="F86" i="4"/>
  <c r="E86" i="4"/>
  <c r="J85" i="4"/>
  <c r="O85" i="4" s="1"/>
  <c r="I85" i="4"/>
  <c r="N85" i="4"/>
  <c r="F85" i="4"/>
  <c r="E85" i="4"/>
  <c r="J84" i="4"/>
  <c r="O84" i="4"/>
  <c r="I84" i="4"/>
  <c r="N84" i="4"/>
  <c r="F84" i="4"/>
  <c r="E84" i="4"/>
  <c r="J83" i="4"/>
  <c r="O83" i="4"/>
  <c r="I83" i="4"/>
  <c r="N83" i="4" s="1"/>
  <c r="F83" i="4"/>
  <c r="E83" i="4"/>
  <c r="J82" i="4"/>
  <c r="O82" i="4"/>
  <c r="I82" i="4"/>
  <c r="N82" i="4"/>
  <c r="F82" i="4"/>
  <c r="E82" i="4"/>
  <c r="J81" i="4"/>
  <c r="O81" i="4"/>
  <c r="I81" i="4"/>
  <c r="N81" i="4" s="1"/>
  <c r="K81" i="4"/>
  <c r="F81" i="4"/>
  <c r="E81" i="4"/>
  <c r="J80" i="4"/>
  <c r="O80" i="4" s="1"/>
  <c r="I80" i="4"/>
  <c r="K80" i="4" s="1"/>
  <c r="F80" i="4"/>
  <c r="E80" i="4"/>
  <c r="J79" i="4"/>
  <c r="O79" i="4"/>
  <c r="I79" i="4"/>
  <c r="K79" i="4" s="1"/>
  <c r="F79" i="4"/>
  <c r="E79" i="4"/>
  <c r="J78" i="4"/>
  <c r="O78" i="4"/>
  <c r="I78" i="4"/>
  <c r="N78" i="4" s="1"/>
  <c r="K78" i="4"/>
  <c r="F78" i="4"/>
  <c r="E78" i="4"/>
  <c r="J77" i="4"/>
  <c r="O77" i="4" s="1"/>
  <c r="I77" i="4"/>
  <c r="F77" i="4"/>
  <c r="E77" i="4"/>
  <c r="J76" i="4"/>
  <c r="O76" i="4"/>
  <c r="I76" i="4"/>
  <c r="N76" i="4" s="1"/>
  <c r="K76" i="4"/>
  <c r="F76" i="4"/>
  <c r="E76" i="4"/>
  <c r="J75" i="4"/>
  <c r="O75" i="4"/>
  <c r="I75" i="4"/>
  <c r="N75" i="4" s="1"/>
  <c r="F75" i="4"/>
  <c r="E75" i="4"/>
  <c r="J74" i="4"/>
  <c r="O74" i="4"/>
  <c r="I74" i="4"/>
  <c r="F74" i="4"/>
  <c r="E74" i="4"/>
  <c r="J73" i="4"/>
  <c r="O73" i="4"/>
  <c r="I73" i="4"/>
  <c r="K73" i="4"/>
  <c r="F73" i="4"/>
  <c r="E73" i="4"/>
  <c r="J72" i="4"/>
  <c r="O72" i="4"/>
  <c r="I72" i="4"/>
  <c r="K72" i="4" s="1"/>
  <c r="F72" i="4"/>
  <c r="E72" i="4"/>
  <c r="J71" i="4"/>
  <c r="O71" i="4"/>
  <c r="I71" i="4"/>
  <c r="F71" i="4"/>
  <c r="E71" i="4"/>
  <c r="J70" i="4"/>
  <c r="O70" i="4"/>
  <c r="I70" i="4"/>
  <c r="N70" i="4" s="1"/>
  <c r="K70" i="4"/>
  <c r="F70" i="4"/>
  <c r="E70" i="4"/>
  <c r="J69" i="4"/>
  <c r="O69" i="4"/>
  <c r="I69" i="4"/>
  <c r="K69" i="4" s="1"/>
  <c r="F69" i="4"/>
  <c r="E69" i="4"/>
  <c r="J68" i="4"/>
  <c r="O68" i="4"/>
  <c r="I68" i="4"/>
  <c r="F68" i="4"/>
  <c r="E68" i="4"/>
  <c r="J67" i="4"/>
  <c r="O67" i="4"/>
  <c r="I67" i="4"/>
  <c r="F67" i="4"/>
  <c r="E67" i="4"/>
  <c r="J66" i="4"/>
  <c r="O66" i="4"/>
  <c r="I66" i="4"/>
  <c r="N66" i="4"/>
  <c r="F66" i="4"/>
  <c r="E66" i="4"/>
  <c r="J65" i="4"/>
  <c r="O65" i="4"/>
  <c r="I65" i="4"/>
  <c r="F65" i="4"/>
  <c r="E65" i="4"/>
  <c r="J64" i="4"/>
  <c r="O64" i="4"/>
  <c r="I64" i="4"/>
  <c r="N64" i="4" s="1"/>
  <c r="F64" i="4"/>
  <c r="E64" i="4"/>
  <c r="J63" i="4"/>
  <c r="O63" i="4"/>
  <c r="I63" i="4"/>
  <c r="K63" i="4" s="1"/>
  <c r="N63" i="4"/>
  <c r="F63" i="4"/>
  <c r="E63" i="4"/>
  <c r="J62" i="4"/>
  <c r="O62" i="4"/>
  <c r="I62" i="4"/>
  <c r="N62" i="4"/>
  <c r="F62" i="4"/>
  <c r="E62" i="4"/>
  <c r="J61" i="4"/>
  <c r="O61" i="4"/>
  <c r="I61" i="4"/>
  <c r="M61" i="4" s="1"/>
  <c r="N61" i="4"/>
  <c r="F61" i="4"/>
  <c r="E61" i="4"/>
  <c r="J60" i="4"/>
  <c r="K60" i="4" s="1"/>
  <c r="O60" i="4"/>
  <c r="I60" i="4"/>
  <c r="N60" i="4" s="1"/>
  <c r="F60" i="4"/>
  <c r="E60" i="4"/>
  <c r="J59" i="4"/>
  <c r="O59" i="4"/>
  <c r="I59" i="4"/>
  <c r="M59" i="4" s="1"/>
  <c r="N59" i="4"/>
  <c r="F59" i="4"/>
  <c r="E59" i="4"/>
  <c r="J58" i="4"/>
  <c r="O58" i="4"/>
  <c r="I58" i="4"/>
  <c r="N58" i="4"/>
  <c r="F58" i="4"/>
  <c r="E58" i="4"/>
  <c r="J57" i="4"/>
  <c r="O57" i="4" s="1"/>
  <c r="I57" i="4"/>
  <c r="N57" i="4" s="1"/>
  <c r="F57" i="4"/>
  <c r="E57" i="4"/>
  <c r="J56" i="4"/>
  <c r="O56" i="4"/>
  <c r="I56" i="4"/>
  <c r="N56" i="4"/>
  <c r="F56" i="4"/>
  <c r="E56" i="4"/>
  <c r="J55" i="4"/>
  <c r="O55" i="4"/>
  <c r="I55" i="4"/>
  <c r="K55" i="4" s="1"/>
  <c r="N55" i="4"/>
  <c r="F55" i="4"/>
  <c r="E55" i="4"/>
  <c r="J54" i="4"/>
  <c r="O54" i="4" s="1"/>
  <c r="I54" i="4"/>
  <c r="N54" i="4"/>
  <c r="F54" i="4"/>
  <c r="E54" i="4"/>
  <c r="J53" i="4"/>
  <c r="O53" i="4"/>
  <c r="I53" i="4"/>
  <c r="K53" i="4" s="1"/>
  <c r="N53" i="4"/>
  <c r="F53" i="4"/>
  <c r="E53" i="4"/>
  <c r="J52" i="4"/>
  <c r="K52" i="4" s="1"/>
  <c r="O52" i="4"/>
  <c r="I52" i="4"/>
  <c r="N52" i="4" s="1"/>
  <c r="F52" i="4"/>
  <c r="E52" i="4"/>
  <c r="J51" i="4"/>
  <c r="O51" i="4"/>
  <c r="I51" i="4"/>
  <c r="N51" i="4"/>
  <c r="F51" i="4"/>
  <c r="E51" i="4"/>
  <c r="J50" i="4"/>
  <c r="O50" i="4"/>
  <c r="I50" i="4"/>
  <c r="N50" i="4"/>
  <c r="F50" i="4"/>
  <c r="E50" i="4"/>
  <c r="J49" i="4"/>
  <c r="O49" i="4" s="1"/>
  <c r="I49" i="4"/>
  <c r="N49" i="4" s="1"/>
  <c r="F49" i="4"/>
  <c r="E49" i="4"/>
  <c r="J48" i="4"/>
  <c r="O48" i="4"/>
  <c r="I48" i="4"/>
  <c r="N48" i="4"/>
  <c r="F48" i="4"/>
  <c r="E48" i="4"/>
  <c r="J47" i="4"/>
  <c r="O47" i="4"/>
  <c r="I47" i="4"/>
  <c r="K47" i="4" s="1"/>
  <c r="N47" i="4"/>
  <c r="F47" i="4"/>
  <c r="E47" i="4"/>
  <c r="J46" i="4"/>
  <c r="O46" i="4" s="1"/>
  <c r="I46" i="4"/>
  <c r="N46" i="4"/>
  <c r="F46" i="4"/>
  <c r="E46" i="4"/>
  <c r="J45" i="4"/>
  <c r="O45" i="4"/>
  <c r="I45" i="4"/>
  <c r="N45" i="4"/>
  <c r="F45" i="4"/>
  <c r="E45" i="4"/>
  <c r="J44" i="4"/>
  <c r="K44" i="4" s="1"/>
  <c r="O44" i="4"/>
  <c r="I44" i="4"/>
  <c r="N44" i="4" s="1"/>
  <c r="F44" i="4"/>
  <c r="E44" i="4"/>
  <c r="J43" i="4"/>
  <c r="O43" i="4"/>
  <c r="I43" i="4"/>
  <c r="N43" i="4"/>
  <c r="F43" i="4"/>
  <c r="E43" i="4"/>
  <c r="J42" i="4"/>
  <c r="O42" i="4"/>
  <c r="I42" i="4"/>
  <c r="N42" i="4" s="1"/>
  <c r="F42" i="4"/>
  <c r="E42" i="4"/>
  <c r="J41" i="4"/>
  <c r="O41" i="4" s="1"/>
  <c r="I41" i="4"/>
  <c r="F41" i="4"/>
  <c r="E41" i="4"/>
  <c r="J40" i="4"/>
  <c r="O40" i="4"/>
  <c r="I40" i="4"/>
  <c r="N40" i="4" s="1"/>
  <c r="F40" i="4"/>
  <c r="E40" i="4"/>
  <c r="J39" i="4"/>
  <c r="O39" i="4"/>
  <c r="I39" i="4"/>
  <c r="F39" i="4"/>
  <c r="E39" i="4"/>
  <c r="J38" i="4"/>
  <c r="O38" i="4" s="1"/>
  <c r="I38" i="4"/>
  <c r="F38" i="4"/>
  <c r="E38" i="4"/>
  <c r="J37" i="4"/>
  <c r="O37" i="4"/>
  <c r="I37" i="4"/>
  <c r="N37" i="4" s="1"/>
  <c r="K37" i="4"/>
  <c r="F37" i="4"/>
  <c r="E37" i="4"/>
  <c r="J36" i="4"/>
  <c r="O36" i="4"/>
  <c r="I36" i="4"/>
  <c r="K36" i="4" s="1"/>
  <c r="F36" i="4"/>
  <c r="E36" i="4"/>
  <c r="J35" i="4"/>
  <c r="O35" i="4" s="1"/>
  <c r="I35" i="4"/>
  <c r="F35" i="4"/>
  <c r="E35" i="4"/>
  <c r="J34" i="4"/>
  <c r="O34" i="4"/>
  <c r="I34" i="4"/>
  <c r="K34" i="4"/>
  <c r="F34" i="4"/>
  <c r="E34" i="4"/>
  <c r="J33" i="4"/>
  <c r="O33" i="4"/>
  <c r="I33" i="4"/>
  <c r="K33" i="4" s="1"/>
  <c r="F33" i="4"/>
  <c r="E33" i="4"/>
  <c r="J32" i="4"/>
  <c r="O32" i="4" s="1"/>
  <c r="I32" i="4"/>
  <c r="F32" i="4"/>
  <c r="E32" i="4"/>
  <c r="J31" i="4"/>
  <c r="O31" i="4"/>
  <c r="I31" i="4"/>
  <c r="M31" i="4" s="1"/>
  <c r="F31" i="4"/>
  <c r="E31" i="4"/>
  <c r="J30" i="4"/>
  <c r="O30" i="4"/>
  <c r="I30" i="4"/>
  <c r="N30" i="4"/>
  <c r="F30" i="4"/>
  <c r="E30" i="4"/>
  <c r="J29" i="4"/>
  <c r="O29" i="4" s="1"/>
  <c r="I29" i="4"/>
  <c r="K29" i="4" s="1"/>
  <c r="F29" i="4"/>
  <c r="E29" i="4"/>
  <c r="J28" i="4"/>
  <c r="O28" i="4"/>
  <c r="I28" i="4"/>
  <c r="N28" i="4" s="1"/>
  <c r="K28" i="4"/>
  <c r="F28" i="4"/>
  <c r="E28" i="4"/>
  <c r="J27" i="4"/>
  <c r="O27" i="4"/>
  <c r="I27" i="4"/>
  <c r="K27" i="4" s="1"/>
  <c r="F27" i="4"/>
  <c r="E27" i="4"/>
  <c r="J26" i="4"/>
  <c r="O26" i="4" s="1"/>
  <c r="I26" i="4"/>
  <c r="N26" i="4" s="1"/>
  <c r="F26" i="4"/>
  <c r="E26" i="4"/>
  <c r="J25" i="4"/>
  <c r="O25" i="4"/>
  <c r="I25" i="4"/>
  <c r="K25" i="4" s="1"/>
  <c r="F25" i="4"/>
  <c r="E25" i="4"/>
  <c r="J24" i="4"/>
  <c r="O24" i="4"/>
  <c r="I24" i="4"/>
  <c r="M24" i="4" s="1"/>
  <c r="F24" i="4"/>
  <c r="E24" i="4"/>
  <c r="J23" i="4"/>
  <c r="O23" i="4" s="1"/>
  <c r="I23" i="4"/>
  <c r="F23" i="4"/>
  <c r="E23" i="4"/>
  <c r="J22" i="4"/>
  <c r="O22" i="4"/>
  <c r="I22" i="4"/>
  <c r="K22" i="4" s="1"/>
  <c r="N22" i="4"/>
  <c r="F22" i="4"/>
  <c r="E22" i="4"/>
  <c r="J21" i="4"/>
  <c r="O21" i="4"/>
  <c r="I21" i="4"/>
  <c r="N21" i="4"/>
  <c r="F21" i="4"/>
  <c r="E21" i="4"/>
  <c r="J20" i="4"/>
  <c r="O20" i="4" s="1"/>
  <c r="I20" i="4"/>
  <c r="N20" i="4" s="1"/>
  <c r="F20" i="4"/>
  <c r="E20" i="4"/>
  <c r="J19" i="4"/>
  <c r="O19" i="4"/>
  <c r="I19" i="4"/>
  <c r="N19" i="4"/>
  <c r="F19" i="4"/>
  <c r="E19" i="4"/>
  <c r="J18" i="4"/>
  <c r="O18" i="4"/>
  <c r="I18" i="4"/>
  <c r="N18" i="4" s="1"/>
  <c r="F18" i="4"/>
  <c r="E18" i="4"/>
  <c r="J17" i="4"/>
  <c r="O17" i="4" s="1"/>
  <c r="I17" i="4"/>
  <c r="N17" i="4"/>
  <c r="F17" i="4"/>
  <c r="E17" i="4"/>
  <c r="J16" i="4"/>
  <c r="O16" i="4"/>
  <c r="I16" i="4"/>
  <c r="K16" i="4" s="1"/>
  <c r="N16" i="4"/>
  <c r="F16" i="4"/>
  <c r="E16" i="4"/>
  <c r="J15" i="4"/>
  <c r="O15" i="4" s="1"/>
  <c r="I15" i="4"/>
  <c r="N15" i="4" s="1"/>
  <c r="F15" i="4"/>
  <c r="E15" i="4"/>
  <c r="J14" i="4"/>
  <c r="O14" i="4"/>
  <c r="I14" i="4"/>
  <c r="K14" i="4" s="1"/>
  <c r="N14" i="4"/>
  <c r="F14" i="4"/>
  <c r="E14" i="4"/>
  <c r="J13" i="4"/>
  <c r="O13" i="4"/>
  <c r="I13" i="4"/>
  <c r="N13" i="4"/>
  <c r="F13" i="4"/>
  <c r="E13" i="4"/>
  <c r="J12" i="4"/>
  <c r="O12" i="4" s="1"/>
  <c r="I12" i="4"/>
  <c r="F12" i="4"/>
  <c r="E12" i="4"/>
  <c r="O11" i="4"/>
  <c r="O10" i="4"/>
  <c r="O9" i="4"/>
  <c r="N9" i="4"/>
  <c r="O8" i="4"/>
  <c r="O7" i="4"/>
  <c r="O6" i="4"/>
  <c r="O5" i="4"/>
  <c r="N5" i="4"/>
  <c r="O4" i="4"/>
  <c r="O3" i="4"/>
  <c r="N3" i="4"/>
  <c r="O2" i="4"/>
  <c r="J91" i="5"/>
  <c r="I91" i="5"/>
  <c r="N91" i="5"/>
  <c r="F91" i="5"/>
  <c r="E91" i="5"/>
  <c r="J90" i="5"/>
  <c r="I90" i="5"/>
  <c r="N90" i="5"/>
  <c r="F90" i="5"/>
  <c r="E90" i="5"/>
  <c r="J89" i="5"/>
  <c r="I89" i="5"/>
  <c r="N89" i="5"/>
  <c r="F89" i="5"/>
  <c r="E89" i="5"/>
  <c r="J88" i="5"/>
  <c r="I88" i="5"/>
  <c r="N88" i="5"/>
  <c r="F88" i="5"/>
  <c r="E88" i="5"/>
  <c r="J87" i="5"/>
  <c r="I87" i="5"/>
  <c r="N87" i="5"/>
  <c r="F87" i="5"/>
  <c r="E87" i="5"/>
  <c r="J86" i="5"/>
  <c r="I86" i="5"/>
  <c r="N86" i="5"/>
  <c r="F86" i="5"/>
  <c r="E86" i="5"/>
  <c r="J85" i="5"/>
  <c r="I85" i="5"/>
  <c r="N85" i="5"/>
  <c r="F85" i="5"/>
  <c r="E85" i="5"/>
  <c r="J84" i="5"/>
  <c r="O84" i="5"/>
  <c r="I84" i="5"/>
  <c r="N84" i="5"/>
  <c r="F84" i="5"/>
  <c r="E84" i="5"/>
  <c r="J83" i="5"/>
  <c r="I83" i="5"/>
  <c r="N83" i="5"/>
  <c r="F83" i="5"/>
  <c r="E83" i="5"/>
  <c r="J82" i="5"/>
  <c r="O82" i="5"/>
  <c r="I82" i="5"/>
  <c r="N82" i="5"/>
  <c r="F82" i="5"/>
  <c r="E82" i="5"/>
  <c r="J81" i="5"/>
  <c r="O81" i="5"/>
  <c r="I81" i="5"/>
  <c r="N81" i="5"/>
  <c r="F81" i="5"/>
  <c r="E81" i="5"/>
  <c r="J80" i="5"/>
  <c r="O80" i="5"/>
  <c r="I80" i="5"/>
  <c r="N80" i="5"/>
  <c r="F80" i="5"/>
  <c r="E80" i="5"/>
  <c r="J79" i="5"/>
  <c r="O79" i="5"/>
  <c r="I79" i="5"/>
  <c r="N79" i="5"/>
  <c r="F79" i="5"/>
  <c r="E79" i="5"/>
  <c r="J78" i="5"/>
  <c r="O78" i="5"/>
  <c r="I78" i="5"/>
  <c r="N78" i="5"/>
  <c r="F78" i="5"/>
  <c r="E78" i="5"/>
  <c r="J77" i="5"/>
  <c r="O77" i="5"/>
  <c r="I77" i="5"/>
  <c r="N77" i="5"/>
  <c r="F77" i="5"/>
  <c r="E77" i="5"/>
  <c r="J76" i="5"/>
  <c r="O76" i="5"/>
  <c r="I76" i="5"/>
  <c r="N76" i="5"/>
  <c r="F76" i="5"/>
  <c r="E76" i="5"/>
  <c r="J75" i="5"/>
  <c r="O75" i="5"/>
  <c r="I75" i="5"/>
  <c r="N75" i="5"/>
  <c r="F75" i="5"/>
  <c r="E75" i="5"/>
  <c r="J74" i="5"/>
  <c r="O74" i="5"/>
  <c r="I74" i="5"/>
  <c r="N74" i="5"/>
  <c r="F74" i="5"/>
  <c r="E74" i="5"/>
  <c r="J73" i="5"/>
  <c r="O73" i="5"/>
  <c r="I73" i="5"/>
  <c r="N73" i="5"/>
  <c r="F73" i="5"/>
  <c r="E73" i="5"/>
  <c r="J72" i="5"/>
  <c r="O72" i="5"/>
  <c r="I72" i="5"/>
  <c r="F72" i="5"/>
  <c r="E72" i="5"/>
  <c r="J71" i="5"/>
  <c r="O71" i="5"/>
  <c r="I71" i="5"/>
  <c r="M71" i="5"/>
  <c r="F71" i="5"/>
  <c r="E71" i="5"/>
  <c r="J70" i="5"/>
  <c r="O70" i="5"/>
  <c r="I70" i="5"/>
  <c r="F70" i="5"/>
  <c r="E70" i="5"/>
  <c r="J69" i="5"/>
  <c r="O69" i="5"/>
  <c r="I69" i="5"/>
  <c r="F69" i="5"/>
  <c r="E69" i="5"/>
  <c r="J68" i="5"/>
  <c r="O68" i="5"/>
  <c r="I68" i="5"/>
  <c r="F68" i="5"/>
  <c r="E68" i="5"/>
  <c r="J67" i="5"/>
  <c r="O67" i="5"/>
  <c r="I67" i="5"/>
  <c r="F67" i="5"/>
  <c r="E67" i="5"/>
  <c r="J66" i="5"/>
  <c r="O66" i="5"/>
  <c r="I66" i="5"/>
  <c r="F66" i="5"/>
  <c r="E66" i="5"/>
  <c r="J65" i="5"/>
  <c r="O65" i="5"/>
  <c r="I65" i="5"/>
  <c r="M65" i="5"/>
  <c r="F65" i="5"/>
  <c r="E65" i="5"/>
  <c r="J64" i="5"/>
  <c r="O64" i="5"/>
  <c r="I64" i="5"/>
  <c r="F64" i="5"/>
  <c r="E64" i="5"/>
  <c r="J63" i="5"/>
  <c r="O63" i="5"/>
  <c r="I63" i="5"/>
  <c r="F63" i="5"/>
  <c r="E63" i="5"/>
  <c r="J62" i="5"/>
  <c r="O62" i="5"/>
  <c r="I62" i="5"/>
  <c r="F62" i="5"/>
  <c r="E62" i="5"/>
  <c r="J61" i="5"/>
  <c r="O61" i="5"/>
  <c r="I61" i="5"/>
  <c r="F61" i="5"/>
  <c r="E61" i="5"/>
  <c r="J60" i="5"/>
  <c r="O60" i="5"/>
  <c r="I60" i="5"/>
  <c r="N60" i="5"/>
  <c r="F60" i="5"/>
  <c r="E60" i="5"/>
  <c r="J59" i="5"/>
  <c r="O59" i="5"/>
  <c r="I59" i="5"/>
  <c r="F59" i="5"/>
  <c r="E59" i="5"/>
  <c r="J58" i="5"/>
  <c r="O58" i="5"/>
  <c r="I58" i="5"/>
  <c r="F58" i="5"/>
  <c r="E58" i="5"/>
  <c r="J57" i="5"/>
  <c r="O57" i="5"/>
  <c r="I57" i="5"/>
  <c r="F57" i="5"/>
  <c r="E57" i="5"/>
  <c r="J56" i="5"/>
  <c r="O56" i="5"/>
  <c r="I56" i="5"/>
  <c r="K56" i="5"/>
  <c r="F56" i="5"/>
  <c r="E56" i="5"/>
  <c r="J55" i="5"/>
  <c r="O55" i="5"/>
  <c r="I55" i="5"/>
  <c r="F55" i="5"/>
  <c r="E55" i="5"/>
  <c r="J54" i="5"/>
  <c r="O54" i="5"/>
  <c r="I54" i="5"/>
  <c r="N54" i="5"/>
  <c r="F54" i="5"/>
  <c r="E54" i="5"/>
  <c r="J53" i="5"/>
  <c r="O53" i="5"/>
  <c r="I53" i="5"/>
  <c r="N53" i="5"/>
  <c r="F53" i="5"/>
  <c r="E53" i="5"/>
  <c r="J52" i="5"/>
  <c r="O52" i="5"/>
  <c r="I52" i="5"/>
  <c r="N52" i="5"/>
  <c r="F52" i="5"/>
  <c r="E52" i="5"/>
  <c r="J51" i="5"/>
  <c r="I51" i="5"/>
  <c r="N51" i="5"/>
  <c r="F51" i="5"/>
  <c r="E51" i="5"/>
  <c r="J50" i="5"/>
  <c r="O50" i="5"/>
  <c r="I50" i="5"/>
  <c r="N50" i="5"/>
  <c r="F50" i="5"/>
  <c r="E50" i="5"/>
  <c r="J49" i="5"/>
  <c r="O49" i="5"/>
  <c r="I49" i="5"/>
  <c r="N49" i="5"/>
  <c r="F49" i="5"/>
  <c r="E49" i="5"/>
  <c r="J48" i="5"/>
  <c r="O48" i="5"/>
  <c r="I48" i="5"/>
  <c r="N48" i="5"/>
  <c r="F48" i="5"/>
  <c r="E48" i="5"/>
  <c r="J47" i="5"/>
  <c r="O47" i="5"/>
  <c r="I47" i="5"/>
  <c r="N47" i="5"/>
  <c r="F47" i="5"/>
  <c r="E47" i="5"/>
  <c r="J46" i="5"/>
  <c r="O46" i="5"/>
  <c r="I46" i="5"/>
  <c r="N46" i="5"/>
  <c r="F46" i="5"/>
  <c r="E46" i="5"/>
  <c r="J45" i="5"/>
  <c r="O45" i="5"/>
  <c r="I45" i="5"/>
  <c r="N45" i="5"/>
  <c r="F45" i="5"/>
  <c r="E45" i="5"/>
  <c r="J44" i="5"/>
  <c r="O44" i="5"/>
  <c r="I44" i="5"/>
  <c r="N44" i="5"/>
  <c r="F44" i="5"/>
  <c r="E44" i="5"/>
  <c r="J43" i="5"/>
  <c r="I43" i="5"/>
  <c r="N43" i="5"/>
  <c r="F43" i="5"/>
  <c r="E43" i="5"/>
  <c r="J42" i="5"/>
  <c r="O42" i="5"/>
  <c r="I42" i="5"/>
  <c r="N42" i="5"/>
  <c r="F42" i="5"/>
  <c r="E42" i="5"/>
  <c r="J41" i="5"/>
  <c r="O41" i="5"/>
  <c r="I41" i="5"/>
  <c r="F41" i="5"/>
  <c r="E41" i="5"/>
  <c r="J40" i="5"/>
  <c r="O40" i="5"/>
  <c r="I40" i="5"/>
  <c r="N40" i="5"/>
  <c r="F40" i="5"/>
  <c r="E40" i="5"/>
  <c r="J39" i="5"/>
  <c r="O39" i="5"/>
  <c r="I39" i="5"/>
  <c r="N39" i="5"/>
  <c r="F39" i="5"/>
  <c r="E39" i="5"/>
  <c r="J38" i="5"/>
  <c r="O38" i="5"/>
  <c r="I38" i="5"/>
  <c r="F38" i="5"/>
  <c r="E38" i="5"/>
  <c r="J37" i="5"/>
  <c r="O37" i="5"/>
  <c r="I37" i="5"/>
  <c r="F37" i="5"/>
  <c r="E37" i="5"/>
  <c r="J36" i="5"/>
  <c r="O36" i="5"/>
  <c r="I36" i="5"/>
  <c r="N36" i="5"/>
  <c r="F36" i="5"/>
  <c r="E36" i="5"/>
  <c r="J35" i="5"/>
  <c r="O35" i="5"/>
  <c r="I35" i="5"/>
  <c r="N35" i="5"/>
  <c r="F35" i="5"/>
  <c r="E35" i="5"/>
  <c r="J34" i="5"/>
  <c r="O34" i="5"/>
  <c r="I34" i="5"/>
  <c r="F34" i="5"/>
  <c r="E34" i="5"/>
  <c r="J33" i="5"/>
  <c r="O33" i="5"/>
  <c r="I33" i="5"/>
  <c r="K33" i="5"/>
  <c r="F33" i="5"/>
  <c r="E33" i="5"/>
  <c r="J32" i="5"/>
  <c r="O32" i="5"/>
  <c r="I32" i="5"/>
  <c r="F32" i="5"/>
  <c r="E32" i="5"/>
  <c r="J31" i="5"/>
  <c r="O31" i="5"/>
  <c r="I31" i="5"/>
  <c r="N31" i="5"/>
  <c r="F31" i="5"/>
  <c r="E31" i="5"/>
  <c r="J30" i="5"/>
  <c r="O30" i="5"/>
  <c r="I30" i="5"/>
  <c r="F30" i="5"/>
  <c r="E30" i="5"/>
  <c r="J29" i="5"/>
  <c r="O29" i="5"/>
  <c r="I29" i="5"/>
  <c r="F29" i="5"/>
  <c r="E29" i="5"/>
  <c r="J28" i="5"/>
  <c r="O28" i="5"/>
  <c r="I28" i="5"/>
  <c r="N28" i="5"/>
  <c r="F28" i="5"/>
  <c r="E28" i="5"/>
  <c r="J27" i="5"/>
  <c r="O27" i="5"/>
  <c r="I27" i="5"/>
  <c r="N27" i="5"/>
  <c r="F27" i="5"/>
  <c r="E27" i="5"/>
  <c r="J26" i="5"/>
  <c r="O26" i="5"/>
  <c r="I26" i="5"/>
  <c r="F26" i="5"/>
  <c r="E26" i="5"/>
  <c r="J25" i="5"/>
  <c r="O25" i="5"/>
  <c r="I25" i="5"/>
  <c r="N25" i="5"/>
  <c r="F25" i="5"/>
  <c r="E25" i="5"/>
  <c r="J24" i="5"/>
  <c r="O24" i="5"/>
  <c r="I24" i="5"/>
  <c r="N24" i="5"/>
  <c r="F24" i="5"/>
  <c r="E24" i="5"/>
  <c r="J23" i="5"/>
  <c r="O23" i="5"/>
  <c r="I23" i="5"/>
  <c r="N23" i="5"/>
  <c r="F23" i="5"/>
  <c r="E23" i="5"/>
  <c r="J22" i="5"/>
  <c r="O22" i="5"/>
  <c r="I22" i="5"/>
  <c r="M22" i="5"/>
  <c r="F22" i="5"/>
  <c r="E22" i="5"/>
  <c r="J21" i="5"/>
  <c r="O21" i="5"/>
  <c r="I21" i="5"/>
  <c r="N21" i="5"/>
  <c r="F21" i="5"/>
  <c r="E21" i="5"/>
  <c r="J20" i="5"/>
  <c r="O20" i="5"/>
  <c r="I20" i="5"/>
  <c r="N20" i="5"/>
  <c r="F20" i="5"/>
  <c r="E20" i="5"/>
  <c r="J19" i="5"/>
  <c r="O19" i="5"/>
  <c r="I19" i="5"/>
  <c r="F19" i="5"/>
  <c r="E19" i="5"/>
  <c r="J18" i="5"/>
  <c r="O18" i="5"/>
  <c r="I18" i="5"/>
  <c r="N18" i="5"/>
  <c r="F18" i="5"/>
  <c r="E18" i="5"/>
  <c r="J17" i="5"/>
  <c r="O17" i="5"/>
  <c r="I17" i="5"/>
  <c r="N17" i="5"/>
  <c r="F17" i="5"/>
  <c r="E17" i="5"/>
  <c r="J16" i="5"/>
  <c r="O16" i="5"/>
  <c r="I16" i="5"/>
  <c r="N16" i="5"/>
  <c r="F16" i="5"/>
  <c r="E16" i="5"/>
  <c r="J15" i="5"/>
  <c r="O15" i="5"/>
  <c r="I15" i="5"/>
  <c r="N15" i="5"/>
  <c r="F15" i="5"/>
  <c r="E15" i="5"/>
  <c r="J14" i="5"/>
  <c r="O14" i="5"/>
  <c r="I14" i="5"/>
  <c r="N14" i="5"/>
  <c r="F14" i="5"/>
  <c r="E14" i="5"/>
  <c r="J13" i="5"/>
  <c r="O13" i="5"/>
  <c r="I13" i="5"/>
  <c r="N13" i="5"/>
  <c r="F13" i="5"/>
  <c r="E13" i="5"/>
  <c r="J12" i="5"/>
  <c r="K12" i="5"/>
  <c r="I12" i="5"/>
  <c r="N12" i="5"/>
  <c r="F12" i="5"/>
  <c r="E12" i="5"/>
  <c r="J11" i="5"/>
  <c r="N11" i="5"/>
  <c r="F11" i="5"/>
  <c r="E11" i="5"/>
  <c r="J10" i="5"/>
  <c r="O10" i="5"/>
  <c r="I10" i="5"/>
  <c r="N10" i="5"/>
  <c r="F10" i="5"/>
  <c r="E10" i="5"/>
  <c r="J9" i="5"/>
  <c r="O9" i="5"/>
  <c r="I9" i="5"/>
  <c r="N9" i="5"/>
  <c r="F9" i="5"/>
  <c r="E9" i="5"/>
  <c r="J8" i="5"/>
  <c r="O8" i="5"/>
  <c r="I8" i="5"/>
  <c r="N8" i="5"/>
  <c r="F8" i="5"/>
  <c r="E8" i="5"/>
  <c r="J7" i="5"/>
  <c r="O7" i="5"/>
  <c r="I7" i="5"/>
  <c r="N7" i="5"/>
  <c r="F7" i="5"/>
  <c r="E7" i="5"/>
  <c r="J6" i="5"/>
  <c r="O6" i="5"/>
  <c r="I6" i="5"/>
  <c r="F6" i="5"/>
  <c r="E6" i="5"/>
  <c r="J5" i="5"/>
  <c r="O5" i="5"/>
  <c r="I5" i="5"/>
  <c r="F5" i="5"/>
  <c r="E5" i="5"/>
  <c r="J4" i="5"/>
  <c r="O4" i="5"/>
  <c r="I4" i="5"/>
  <c r="F4" i="5"/>
  <c r="E4" i="5"/>
  <c r="J3" i="5"/>
  <c r="O3" i="5"/>
  <c r="M3" i="5"/>
  <c r="F3" i="5"/>
  <c r="E3" i="5"/>
  <c r="N2" i="5"/>
  <c r="M11" i="5"/>
  <c r="J2" i="5"/>
  <c r="O2" i="5"/>
  <c r="E2" i="5"/>
  <c r="K90" i="5"/>
  <c r="M51" i="5"/>
  <c r="K37" i="5"/>
  <c r="K41" i="5"/>
  <c r="K34" i="5"/>
  <c r="K26" i="5"/>
  <c r="K91" i="5"/>
  <c r="K83" i="5"/>
  <c r="K87" i="5"/>
  <c r="K61" i="5"/>
  <c r="M24" i="5"/>
  <c r="M91" i="5"/>
  <c r="K4" i="5"/>
  <c r="K12" i="4"/>
  <c r="K19" i="5"/>
  <c r="K30" i="4"/>
  <c r="K85" i="5"/>
  <c r="K43" i="5"/>
  <c r="K63" i="5"/>
  <c r="K85" i="4"/>
  <c r="K49" i="4"/>
  <c r="K64" i="5"/>
  <c r="K68" i="5"/>
  <c r="K46" i="4"/>
  <c r="K68" i="4"/>
  <c r="K88" i="5"/>
  <c r="K65" i="4"/>
  <c r="K86" i="5"/>
  <c r="O87" i="5"/>
  <c r="K79" i="5"/>
  <c r="K72" i="5"/>
  <c r="K67" i="5"/>
  <c r="K71" i="5"/>
  <c r="K66" i="5"/>
  <c r="K70" i="5"/>
  <c r="K59" i="5"/>
  <c r="K57" i="5"/>
  <c r="K46" i="5"/>
  <c r="K49" i="5"/>
  <c r="M46" i="5"/>
  <c r="M49" i="5"/>
  <c r="O43" i="5"/>
  <c r="K36" i="5"/>
  <c r="K30" i="5"/>
  <c r="M28" i="5"/>
  <c r="M23" i="5"/>
  <c r="K29" i="5"/>
  <c r="N29" i="5"/>
  <c r="K18" i="5"/>
  <c r="K9" i="5"/>
  <c r="K81" i="5"/>
  <c r="K6" i="5"/>
  <c r="M9" i="5"/>
  <c r="K55" i="5"/>
  <c r="M68" i="5"/>
  <c r="K40" i="4"/>
  <c r="K66" i="4"/>
  <c r="M27" i="5"/>
  <c r="K69" i="5"/>
  <c r="K78" i="5"/>
  <c r="K40" i="5"/>
  <c r="O91" i="5"/>
  <c r="K50" i="4"/>
  <c r="M10" i="5"/>
  <c r="N19" i="5"/>
  <c r="K25" i="5"/>
  <c r="K47" i="5"/>
  <c r="K50" i="5"/>
  <c r="N56" i="5"/>
  <c r="K60" i="5"/>
  <c r="M66" i="5"/>
  <c r="K77" i="4"/>
  <c r="N22" i="5"/>
  <c r="K38" i="5"/>
  <c r="M50" i="5"/>
  <c r="M63" i="5"/>
  <c r="K82" i="5"/>
  <c r="K71" i="4"/>
  <c r="K74" i="4"/>
  <c r="N72" i="5"/>
  <c r="M31" i="5"/>
  <c r="K76" i="5"/>
  <c r="K89" i="5"/>
  <c r="N2" i="4"/>
  <c r="N25" i="4"/>
  <c r="N71" i="4"/>
  <c r="K45" i="5"/>
  <c r="M70" i="5"/>
  <c r="K73" i="5"/>
  <c r="K51" i="4"/>
  <c r="K90" i="4"/>
  <c r="K84" i="5"/>
  <c r="K10" i="5"/>
  <c r="K11" i="5"/>
  <c r="K14" i="5"/>
  <c r="K35" i="5"/>
  <c r="M45" i="5"/>
  <c r="N57" i="5"/>
  <c r="M67" i="5"/>
  <c r="N29" i="4"/>
  <c r="K5" i="5"/>
  <c r="O11" i="5"/>
  <c r="K51" i="5"/>
  <c r="K54" i="5"/>
  <c r="M64" i="5"/>
  <c r="K26" i="4"/>
  <c r="K45" i="4"/>
  <c r="K84" i="4"/>
  <c r="K75" i="5"/>
  <c r="K39" i="5"/>
  <c r="O51" i="5"/>
  <c r="N61" i="5"/>
  <c r="K80" i="5"/>
  <c r="K62" i="4"/>
  <c r="K43" i="4"/>
  <c r="K22" i="5"/>
  <c r="M69" i="5"/>
  <c r="M2" i="5"/>
  <c r="M38" i="5"/>
  <c r="K58" i="5"/>
  <c r="K77" i="5"/>
  <c r="O83" i="5"/>
  <c r="O88" i="5"/>
  <c r="K15" i="5"/>
  <c r="K65" i="5"/>
  <c r="K74" i="5"/>
  <c r="K23" i="4"/>
  <c r="K82" i="4"/>
  <c r="N32" i="4"/>
  <c r="N12" i="4"/>
  <c r="N23" i="4"/>
  <c r="N68" i="4"/>
  <c r="N65" i="4"/>
  <c r="N69" i="4"/>
  <c r="K17" i="4"/>
  <c r="K19" i="4"/>
  <c r="K20" i="4"/>
  <c r="N33" i="4"/>
  <c r="N34" i="4"/>
  <c r="N35" i="4"/>
  <c r="N36" i="4"/>
  <c r="N38" i="4"/>
  <c r="N41" i="4"/>
  <c r="K54" i="4"/>
  <c r="K56" i="4"/>
  <c r="K57" i="4"/>
  <c r="K59" i="4"/>
  <c r="K61" i="4"/>
  <c r="N73" i="4"/>
  <c r="N74" i="4"/>
  <c r="N77" i="4"/>
  <c r="N80" i="4"/>
  <c r="M52" i="4"/>
  <c r="M54" i="4"/>
  <c r="M56" i="4"/>
  <c r="M57" i="4"/>
  <c r="M60" i="4"/>
  <c r="M23" i="4"/>
  <c r="M26" i="4"/>
  <c r="M28" i="4"/>
  <c r="M29" i="4"/>
  <c r="M30" i="4"/>
  <c r="N3" i="5"/>
  <c r="N4" i="5"/>
  <c r="N5" i="5"/>
  <c r="N6" i="5"/>
  <c r="O12" i="5"/>
  <c r="M33" i="5"/>
  <c r="N34" i="5"/>
  <c r="M37" i="5"/>
  <c r="N38" i="5"/>
  <c r="M41" i="5"/>
  <c r="M42" i="5"/>
  <c r="K62" i="5"/>
  <c r="N62" i="5"/>
  <c r="K2" i="5"/>
  <c r="K13" i="5"/>
  <c r="K17" i="5"/>
  <c r="M40" i="5"/>
  <c r="N41" i="5"/>
  <c r="K48" i="5"/>
  <c r="K52" i="5"/>
  <c r="K53" i="5"/>
  <c r="O89" i="5"/>
  <c r="K3" i="5"/>
  <c r="K7" i="5"/>
  <c r="M8" i="5"/>
  <c r="M21" i="5"/>
  <c r="M20" i="5"/>
  <c r="M19" i="5"/>
  <c r="M18" i="5"/>
  <c r="M17" i="5"/>
  <c r="M16" i="5"/>
  <c r="M15" i="5"/>
  <c r="M14" i="5"/>
  <c r="M13" i="5"/>
  <c r="M12" i="5"/>
  <c r="K16" i="5"/>
  <c r="K20" i="5"/>
  <c r="K24" i="5"/>
  <c r="M26" i="5"/>
  <c r="K28" i="5"/>
  <c r="M30" i="5"/>
  <c r="K32" i="5"/>
  <c r="N32" i="5"/>
  <c r="M35" i="5"/>
  <c r="M39" i="5"/>
  <c r="K42" i="5"/>
  <c r="M44" i="5"/>
  <c r="M48" i="5"/>
  <c r="M61" i="5"/>
  <c r="M60" i="5"/>
  <c r="M59" i="5"/>
  <c r="M58" i="5"/>
  <c r="M57" i="5"/>
  <c r="M56" i="5"/>
  <c r="M55" i="5"/>
  <c r="M54" i="5"/>
  <c r="M53" i="5"/>
  <c r="M52" i="5"/>
  <c r="N58" i="5"/>
  <c r="O86" i="5"/>
  <c r="O90" i="5"/>
  <c r="K8" i="5"/>
  <c r="K21" i="5"/>
  <c r="M32" i="5"/>
  <c r="N33" i="5"/>
  <c r="M36" i="5"/>
  <c r="N37" i="5"/>
  <c r="K44" i="5"/>
  <c r="M81" i="5"/>
  <c r="M80" i="5"/>
  <c r="M79" i="5"/>
  <c r="M78" i="5"/>
  <c r="M77" i="5"/>
  <c r="M76" i="5"/>
  <c r="M75" i="5"/>
  <c r="M74" i="5"/>
  <c r="M73" i="5"/>
  <c r="M72" i="5"/>
  <c r="O85" i="5"/>
  <c r="M4" i="5"/>
  <c r="M5" i="5"/>
  <c r="M6" i="5"/>
  <c r="M7" i="5"/>
  <c r="K23" i="5"/>
  <c r="M25" i="5"/>
  <c r="N26" i="5"/>
  <c r="K27" i="5"/>
  <c r="M29" i="5"/>
  <c r="N30" i="5"/>
  <c r="K31" i="5"/>
  <c r="M34" i="5"/>
  <c r="M43" i="5"/>
  <c r="M47" i="5"/>
  <c r="N55" i="5"/>
  <c r="N59" i="5"/>
  <c r="M62" i="5"/>
  <c r="N63" i="5"/>
  <c r="N64" i="5"/>
  <c r="N65" i="5"/>
  <c r="N66" i="5"/>
  <c r="N67" i="5"/>
  <c r="N68" i="5"/>
  <c r="N69" i="5"/>
  <c r="N70" i="5"/>
  <c r="N71" i="5"/>
  <c r="M82" i="5"/>
  <c r="M83" i="5"/>
  <c r="M84" i="5"/>
  <c r="M85" i="5"/>
  <c r="M86" i="5"/>
  <c r="M87" i="5"/>
  <c r="M88" i="5"/>
  <c r="M89" i="5"/>
  <c r="M90" i="5"/>
  <c r="J91" i="2"/>
  <c r="O91" i="2"/>
  <c r="I91" i="2"/>
  <c r="N91" i="2"/>
  <c r="F91" i="2"/>
  <c r="E91" i="2"/>
  <c r="J90" i="2"/>
  <c r="O90" i="2"/>
  <c r="I90" i="2"/>
  <c r="N90" i="2"/>
  <c r="F90" i="2"/>
  <c r="E90" i="2"/>
  <c r="J89" i="2"/>
  <c r="O89" i="2"/>
  <c r="I89" i="2"/>
  <c r="N89" i="2"/>
  <c r="F89" i="2"/>
  <c r="E89" i="2"/>
  <c r="J88" i="2"/>
  <c r="O88" i="2"/>
  <c r="I88" i="2"/>
  <c r="N88" i="2"/>
  <c r="F88" i="2"/>
  <c r="E88" i="2"/>
  <c r="J87" i="2"/>
  <c r="O87" i="2"/>
  <c r="I87" i="2"/>
  <c r="N87" i="2"/>
  <c r="F87" i="2"/>
  <c r="E87" i="2"/>
  <c r="J86" i="2"/>
  <c r="O86" i="2"/>
  <c r="I86" i="2"/>
  <c r="N86" i="2"/>
  <c r="F86" i="2"/>
  <c r="E86" i="2"/>
  <c r="J85" i="2"/>
  <c r="O85" i="2"/>
  <c r="I85" i="2"/>
  <c r="N85" i="2"/>
  <c r="F85" i="2"/>
  <c r="E85" i="2"/>
  <c r="J84" i="2"/>
  <c r="O84" i="2"/>
  <c r="I84" i="2"/>
  <c r="N84" i="2"/>
  <c r="F84" i="2"/>
  <c r="E84" i="2"/>
  <c r="J83" i="2"/>
  <c r="O83" i="2"/>
  <c r="I83" i="2"/>
  <c r="N83" i="2"/>
  <c r="F83" i="2"/>
  <c r="E83" i="2"/>
  <c r="J82" i="2"/>
  <c r="O82" i="2"/>
  <c r="I82" i="2"/>
  <c r="F82" i="2"/>
  <c r="E82" i="2"/>
  <c r="J81" i="2"/>
  <c r="O81" i="2"/>
  <c r="I81" i="2"/>
  <c r="F81" i="2"/>
  <c r="E81" i="2"/>
  <c r="J80" i="2"/>
  <c r="O80" i="2"/>
  <c r="I80" i="2"/>
  <c r="F80" i="2"/>
  <c r="E80" i="2"/>
  <c r="J79" i="2"/>
  <c r="O79" i="2"/>
  <c r="I79" i="2"/>
  <c r="F79" i="2"/>
  <c r="E79" i="2"/>
  <c r="J78" i="2"/>
  <c r="O78" i="2"/>
  <c r="I78" i="2"/>
  <c r="F78" i="2"/>
  <c r="E78" i="2"/>
  <c r="J77" i="2"/>
  <c r="O77" i="2"/>
  <c r="I77" i="2"/>
  <c r="F77" i="2"/>
  <c r="E77" i="2"/>
  <c r="J76" i="2"/>
  <c r="O76" i="2"/>
  <c r="I76" i="2"/>
  <c r="F76" i="2"/>
  <c r="E76" i="2"/>
  <c r="J75" i="2"/>
  <c r="O75" i="2"/>
  <c r="I75" i="2"/>
  <c r="K75" i="2"/>
  <c r="F75" i="2"/>
  <c r="E75" i="2"/>
  <c r="J74" i="2"/>
  <c r="O74" i="2"/>
  <c r="I74" i="2"/>
  <c r="F74" i="2"/>
  <c r="E74" i="2"/>
  <c r="J73" i="2"/>
  <c r="O73" i="2"/>
  <c r="I73" i="2"/>
  <c r="F73" i="2"/>
  <c r="E73" i="2"/>
  <c r="J72" i="2"/>
  <c r="O72" i="2"/>
  <c r="I72" i="2"/>
  <c r="M72" i="2"/>
  <c r="F72" i="2"/>
  <c r="E72" i="2"/>
  <c r="J71" i="2"/>
  <c r="O71" i="2"/>
  <c r="I71" i="2"/>
  <c r="M71" i="2"/>
  <c r="F71" i="2"/>
  <c r="E71" i="2"/>
  <c r="J70" i="2"/>
  <c r="O70" i="2"/>
  <c r="I70" i="2"/>
  <c r="F70" i="2"/>
  <c r="E70" i="2"/>
  <c r="J69" i="2"/>
  <c r="O69" i="2"/>
  <c r="I69" i="2"/>
  <c r="N69" i="2"/>
  <c r="F69" i="2"/>
  <c r="E69" i="2"/>
  <c r="J68" i="2"/>
  <c r="O68" i="2"/>
  <c r="I68" i="2"/>
  <c r="F68" i="2"/>
  <c r="E68" i="2"/>
  <c r="J67" i="2"/>
  <c r="O67" i="2"/>
  <c r="I67" i="2"/>
  <c r="F67" i="2"/>
  <c r="E67" i="2"/>
  <c r="J66" i="2"/>
  <c r="O66" i="2"/>
  <c r="I66" i="2"/>
  <c r="F66" i="2"/>
  <c r="E66" i="2"/>
  <c r="J65" i="2"/>
  <c r="O65" i="2"/>
  <c r="I65" i="2"/>
  <c r="N65" i="2"/>
  <c r="F65" i="2"/>
  <c r="E65" i="2"/>
  <c r="J64" i="2"/>
  <c r="O64" i="2"/>
  <c r="I64" i="2"/>
  <c r="F64" i="2"/>
  <c r="E64" i="2"/>
  <c r="J63" i="2"/>
  <c r="O63" i="2"/>
  <c r="I63" i="2"/>
  <c r="F63" i="2"/>
  <c r="E63" i="2"/>
  <c r="J62" i="2"/>
  <c r="I62" i="2"/>
  <c r="N62" i="2"/>
  <c r="F62" i="2"/>
  <c r="E62" i="2"/>
  <c r="J61" i="2"/>
  <c r="I61" i="2"/>
  <c r="N61" i="2"/>
  <c r="F61" i="2"/>
  <c r="E61" i="2"/>
  <c r="J60" i="2"/>
  <c r="O60" i="2"/>
  <c r="I60" i="2"/>
  <c r="N60" i="2"/>
  <c r="F60" i="2"/>
  <c r="E60" i="2"/>
  <c r="J59" i="2"/>
  <c r="O59" i="2"/>
  <c r="I59" i="2"/>
  <c r="N59" i="2"/>
  <c r="F59" i="2"/>
  <c r="E59" i="2"/>
  <c r="J58" i="2"/>
  <c r="O58" i="2"/>
  <c r="I58" i="2"/>
  <c r="N58" i="2"/>
  <c r="F58" i="2"/>
  <c r="E58" i="2"/>
  <c r="J57" i="2"/>
  <c r="O57" i="2"/>
  <c r="I57" i="2"/>
  <c r="N57" i="2"/>
  <c r="F57" i="2"/>
  <c r="E57" i="2"/>
  <c r="J56" i="2"/>
  <c r="O56" i="2"/>
  <c r="I56" i="2"/>
  <c r="N56" i="2"/>
  <c r="F56" i="2"/>
  <c r="E56" i="2"/>
  <c r="J55" i="2"/>
  <c r="O55" i="2"/>
  <c r="I55" i="2"/>
  <c r="N55" i="2"/>
  <c r="F55" i="2"/>
  <c r="E55" i="2"/>
  <c r="J54" i="2"/>
  <c r="O54" i="2"/>
  <c r="I54" i="2"/>
  <c r="N54" i="2"/>
  <c r="F54" i="2"/>
  <c r="E54" i="2"/>
  <c r="J53" i="2"/>
  <c r="O53" i="2"/>
  <c r="I53" i="2"/>
  <c r="N53" i="2"/>
  <c r="F53" i="2"/>
  <c r="E53" i="2"/>
  <c r="J52" i="2"/>
  <c r="O52" i="2"/>
  <c r="I52" i="2"/>
  <c r="N52" i="2"/>
  <c r="F52" i="2"/>
  <c r="E52" i="2"/>
  <c r="J51" i="2"/>
  <c r="O51" i="2"/>
  <c r="I51" i="2"/>
  <c r="N51" i="2"/>
  <c r="F51" i="2"/>
  <c r="E51" i="2"/>
  <c r="J50" i="2"/>
  <c r="O50" i="2"/>
  <c r="I50" i="2"/>
  <c r="N50" i="2"/>
  <c r="F50" i="2"/>
  <c r="E50" i="2"/>
  <c r="J49" i="2"/>
  <c r="O49" i="2"/>
  <c r="I49" i="2"/>
  <c r="N49" i="2"/>
  <c r="F49" i="2"/>
  <c r="E49" i="2"/>
  <c r="J48" i="2"/>
  <c r="O48" i="2"/>
  <c r="I48" i="2"/>
  <c r="N48" i="2"/>
  <c r="F48" i="2"/>
  <c r="E48" i="2"/>
  <c r="J47" i="2"/>
  <c r="O47" i="2"/>
  <c r="I47" i="2"/>
  <c r="N47" i="2"/>
  <c r="F47" i="2"/>
  <c r="E47" i="2"/>
  <c r="J46" i="2"/>
  <c r="O46" i="2"/>
  <c r="I46" i="2"/>
  <c r="N46" i="2"/>
  <c r="F46" i="2"/>
  <c r="E46" i="2"/>
  <c r="J45" i="2"/>
  <c r="O45" i="2"/>
  <c r="I45" i="2"/>
  <c r="N45" i="2"/>
  <c r="F45" i="2"/>
  <c r="E45" i="2"/>
  <c r="J44" i="2"/>
  <c r="O44" i="2"/>
  <c r="I44" i="2"/>
  <c r="N44" i="2"/>
  <c r="F44" i="2"/>
  <c r="E44" i="2"/>
  <c r="J43" i="2"/>
  <c r="O43" i="2"/>
  <c r="I43" i="2"/>
  <c r="N43" i="2"/>
  <c r="F43" i="2"/>
  <c r="E43" i="2"/>
  <c r="J42" i="2"/>
  <c r="O42" i="2"/>
  <c r="I42" i="2"/>
  <c r="K42" i="2"/>
  <c r="F42" i="2"/>
  <c r="E42" i="2"/>
  <c r="J41" i="2"/>
  <c r="O41" i="2"/>
  <c r="I41" i="2"/>
  <c r="F41" i="2"/>
  <c r="E41" i="2"/>
  <c r="J40" i="2"/>
  <c r="O40" i="2"/>
  <c r="I40" i="2"/>
  <c r="F40" i="2"/>
  <c r="E40" i="2"/>
  <c r="J39" i="2"/>
  <c r="O39" i="2"/>
  <c r="I39" i="2"/>
  <c r="F39" i="2"/>
  <c r="E39" i="2"/>
  <c r="J38" i="2"/>
  <c r="O38" i="2"/>
  <c r="I38" i="2"/>
  <c r="F38" i="2"/>
  <c r="E38" i="2"/>
  <c r="J37" i="2"/>
  <c r="O37" i="2"/>
  <c r="I37" i="2"/>
  <c r="F37" i="2"/>
  <c r="E37" i="2"/>
  <c r="J36" i="2"/>
  <c r="O36" i="2"/>
  <c r="I36" i="2"/>
  <c r="M36" i="2"/>
  <c r="F36" i="2"/>
  <c r="E36" i="2"/>
  <c r="J35" i="2"/>
  <c r="O35" i="2"/>
  <c r="I35" i="2"/>
  <c r="F35" i="2"/>
  <c r="E35" i="2"/>
  <c r="J34" i="2"/>
  <c r="O34" i="2"/>
  <c r="I34" i="2"/>
  <c r="F34" i="2"/>
  <c r="E34" i="2"/>
  <c r="J33" i="2"/>
  <c r="O33" i="2"/>
  <c r="I33" i="2"/>
  <c r="F33" i="2"/>
  <c r="E33" i="2"/>
  <c r="J32" i="2"/>
  <c r="O32" i="2"/>
  <c r="I32" i="2"/>
  <c r="F32" i="2"/>
  <c r="E32" i="2"/>
  <c r="J31" i="2"/>
  <c r="O31" i="2"/>
  <c r="I31" i="2"/>
  <c r="F31" i="2"/>
  <c r="E31" i="2"/>
  <c r="J30" i="2"/>
  <c r="O30" i="2"/>
  <c r="I30" i="2"/>
  <c r="K30" i="2"/>
  <c r="F30" i="2"/>
  <c r="E30" i="2"/>
  <c r="J29" i="2"/>
  <c r="O29" i="2"/>
  <c r="I29" i="2"/>
  <c r="F29" i="2"/>
  <c r="E29" i="2"/>
  <c r="J28" i="2"/>
  <c r="O28" i="2"/>
  <c r="I28" i="2"/>
  <c r="F28" i="2"/>
  <c r="E28" i="2"/>
  <c r="J27" i="2"/>
  <c r="O27" i="2"/>
  <c r="I27" i="2"/>
  <c r="F27" i="2"/>
  <c r="E27" i="2"/>
  <c r="J26" i="2"/>
  <c r="O26" i="2"/>
  <c r="I26" i="2"/>
  <c r="F26" i="2"/>
  <c r="E26" i="2"/>
  <c r="J25" i="2"/>
  <c r="O25" i="2"/>
  <c r="I25" i="2"/>
  <c r="F25" i="2"/>
  <c r="E25" i="2"/>
  <c r="J24" i="2"/>
  <c r="O24" i="2" s="1"/>
  <c r="I24" i="2"/>
  <c r="N24" i="2" s="1"/>
  <c r="F24" i="2"/>
  <c r="J23" i="2"/>
  <c r="O23" i="2" s="1"/>
  <c r="I23" i="2"/>
  <c r="N23" i="2" s="1"/>
  <c r="F23" i="2"/>
  <c r="J22" i="2"/>
  <c r="O22" i="2"/>
  <c r="I22" i="2"/>
  <c r="N22" i="2" s="1"/>
  <c r="F22" i="2"/>
  <c r="J21" i="2"/>
  <c r="O21" i="2"/>
  <c r="I21" i="2"/>
  <c r="M21" i="2" s="1"/>
  <c r="N21" i="2"/>
  <c r="F21" i="2"/>
  <c r="J20" i="2"/>
  <c r="O20" i="2" s="1"/>
  <c r="I20" i="2"/>
  <c r="N20" i="2" s="1"/>
  <c r="F20" i="2"/>
  <c r="J19" i="2"/>
  <c r="I19" i="2"/>
  <c r="M19" i="2" s="1"/>
  <c r="F19" i="2"/>
  <c r="J18" i="2"/>
  <c r="O18" i="2"/>
  <c r="I18" i="2"/>
  <c r="N18" i="2" s="1"/>
  <c r="F18" i="2"/>
  <c r="J17" i="2"/>
  <c r="O17" i="2"/>
  <c r="I17" i="2"/>
  <c r="M17" i="2" s="1"/>
  <c r="N17" i="2"/>
  <c r="F17" i="2"/>
  <c r="J16" i="2"/>
  <c r="O16" i="2" s="1"/>
  <c r="I16" i="2"/>
  <c r="N16" i="2" s="1"/>
  <c r="F16" i="2"/>
  <c r="J15" i="2"/>
  <c r="O15" i="2" s="1"/>
  <c r="I15" i="2"/>
  <c r="N15" i="2"/>
  <c r="F15" i="2"/>
  <c r="J14" i="2"/>
  <c r="O14" i="2" s="1"/>
  <c r="I14" i="2"/>
  <c r="K14" i="2" s="1"/>
  <c r="N14" i="2"/>
  <c r="F14" i="2"/>
  <c r="J13" i="2"/>
  <c r="O13" i="2" s="1"/>
  <c r="I13" i="2"/>
  <c r="F13" i="2"/>
  <c r="J12" i="2"/>
  <c r="O12" i="2" s="1"/>
  <c r="I12" i="2"/>
  <c r="F12" i="2"/>
  <c r="J11" i="2"/>
  <c r="O11" i="2"/>
  <c r="I11" i="2"/>
  <c r="N11" i="2"/>
  <c r="F11" i="2"/>
  <c r="E11" i="2"/>
  <c r="J10" i="2"/>
  <c r="O10" i="2"/>
  <c r="I10" i="2"/>
  <c r="N10" i="2"/>
  <c r="F10" i="2"/>
  <c r="E10" i="2"/>
  <c r="J9" i="2"/>
  <c r="O9" i="2"/>
  <c r="I9" i="2"/>
  <c r="N9" i="2"/>
  <c r="F9" i="2"/>
  <c r="E9" i="2"/>
  <c r="J8" i="2"/>
  <c r="O8" i="2"/>
  <c r="I8" i="2"/>
  <c r="N8" i="2"/>
  <c r="F8" i="2"/>
  <c r="E8" i="2"/>
  <c r="J7" i="2"/>
  <c r="O7" i="2"/>
  <c r="I7" i="2"/>
  <c r="N7" i="2"/>
  <c r="F7" i="2"/>
  <c r="E7" i="2"/>
  <c r="J6" i="2"/>
  <c r="O6" i="2"/>
  <c r="I6" i="2"/>
  <c r="F6" i="2"/>
  <c r="E6" i="2"/>
  <c r="J5" i="2"/>
  <c r="O5" i="2"/>
  <c r="I5" i="2"/>
  <c r="F5" i="2"/>
  <c r="E5" i="2"/>
  <c r="J4" i="2"/>
  <c r="O4" i="2"/>
  <c r="I4" i="2"/>
  <c r="F4" i="2"/>
  <c r="E4" i="2"/>
  <c r="J3" i="2"/>
  <c r="O3" i="2"/>
  <c r="I3" i="2"/>
  <c r="F3" i="2"/>
  <c r="E3" i="2"/>
  <c r="J2" i="2"/>
  <c r="O2" i="2"/>
  <c r="I2" i="2"/>
  <c r="N2" i="2"/>
  <c r="F2" i="2"/>
  <c r="E2" i="2"/>
  <c r="J91" i="3"/>
  <c r="O91" i="3"/>
  <c r="I91" i="3"/>
  <c r="N91" i="3"/>
  <c r="F91" i="3"/>
  <c r="E91" i="3"/>
  <c r="J90" i="3"/>
  <c r="O90" i="3"/>
  <c r="I90" i="3"/>
  <c r="N90" i="3"/>
  <c r="F90" i="3"/>
  <c r="E90" i="3"/>
  <c r="J89" i="3"/>
  <c r="O89" i="3"/>
  <c r="I89" i="3"/>
  <c r="N89" i="3"/>
  <c r="F89" i="3"/>
  <c r="E89" i="3"/>
  <c r="J88" i="3"/>
  <c r="O88" i="3"/>
  <c r="I88" i="3"/>
  <c r="N88" i="3"/>
  <c r="F88" i="3"/>
  <c r="E88" i="3"/>
  <c r="J87" i="3"/>
  <c r="O87" i="3"/>
  <c r="I87" i="3"/>
  <c r="N87" i="3"/>
  <c r="F87" i="3"/>
  <c r="E87" i="3"/>
  <c r="J86" i="3"/>
  <c r="O86" i="3"/>
  <c r="I86" i="3"/>
  <c r="N86" i="3"/>
  <c r="F86" i="3"/>
  <c r="E86" i="3"/>
  <c r="J85" i="3"/>
  <c r="O85" i="3"/>
  <c r="I85" i="3"/>
  <c r="N85" i="3"/>
  <c r="F85" i="3"/>
  <c r="E85" i="3"/>
  <c r="J84" i="3"/>
  <c r="O84" i="3"/>
  <c r="I84" i="3"/>
  <c r="N84" i="3"/>
  <c r="F84" i="3"/>
  <c r="E84" i="3"/>
  <c r="J83" i="3"/>
  <c r="O83" i="3"/>
  <c r="I83" i="3"/>
  <c r="N83" i="3"/>
  <c r="F83" i="3"/>
  <c r="J82" i="3"/>
  <c r="O82" i="3"/>
  <c r="I82" i="3"/>
  <c r="N82" i="3"/>
  <c r="F82" i="3"/>
  <c r="J81" i="3"/>
  <c r="O81" i="3"/>
  <c r="I81" i="3"/>
  <c r="N81" i="3"/>
  <c r="F81" i="3"/>
  <c r="E81" i="3"/>
  <c r="J80" i="3"/>
  <c r="O80" i="3"/>
  <c r="I80" i="3"/>
  <c r="N80" i="3"/>
  <c r="F80" i="3"/>
  <c r="E80" i="3"/>
  <c r="J79" i="3"/>
  <c r="O79" i="3"/>
  <c r="I79" i="3"/>
  <c r="N79" i="3"/>
  <c r="F79" i="3"/>
  <c r="E79" i="3"/>
  <c r="J78" i="3"/>
  <c r="O78" i="3"/>
  <c r="I78" i="3"/>
  <c r="N78" i="3"/>
  <c r="F78" i="3"/>
  <c r="E78" i="3"/>
  <c r="J77" i="3"/>
  <c r="O77" i="3"/>
  <c r="I77" i="3"/>
  <c r="N77" i="3"/>
  <c r="F77" i="3"/>
  <c r="E77" i="3"/>
  <c r="J76" i="3"/>
  <c r="O76" i="3"/>
  <c r="I76" i="3"/>
  <c r="N76" i="3"/>
  <c r="F76" i="3"/>
  <c r="E76" i="3"/>
  <c r="J75" i="3"/>
  <c r="O75" i="3"/>
  <c r="I75" i="3"/>
  <c r="N75" i="3"/>
  <c r="F75" i="3"/>
  <c r="E75" i="3"/>
  <c r="J74" i="3"/>
  <c r="O74" i="3"/>
  <c r="I74" i="3"/>
  <c r="N74" i="3"/>
  <c r="F74" i="3"/>
  <c r="E74" i="3"/>
  <c r="J73" i="3"/>
  <c r="O73" i="3"/>
  <c r="I73" i="3"/>
  <c r="N73" i="3"/>
  <c r="F73" i="3"/>
  <c r="E73" i="3"/>
  <c r="J72" i="3"/>
  <c r="O72" i="3"/>
  <c r="I72" i="3"/>
  <c r="M72" i="3"/>
  <c r="F72" i="3"/>
  <c r="J71" i="3"/>
  <c r="O71" i="3"/>
  <c r="I71" i="3"/>
  <c r="N71" i="3"/>
  <c r="F71" i="3"/>
  <c r="E71" i="3"/>
  <c r="J70" i="3"/>
  <c r="I70" i="3"/>
  <c r="N70" i="3"/>
  <c r="F70" i="3"/>
  <c r="E70" i="3"/>
  <c r="J69" i="3"/>
  <c r="O69" i="3"/>
  <c r="I69" i="3"/>
  <c r="F69" i="3"/>
  <c r="E69" i="3"/>
  <c r="J68" i="3"/>
  <c r="O68" i="3"/>
  <c r="I68" i="3"/>
  <c r="N68" i="3"/>
  <c r="F68" i="3"/>
  <c r="E68" i="3"/>
  <c r="J67" i="3"/>
  <c r="O67" i="3"/>
  <c r="I67" i="3"/>
  <c r="N67" i="3"/>
  <c r="F67" i="3"/>
  <c r="E67" i="3"/>
  <c r="J66" i="3"/>
  <c r="I66" i="3"/>
  <c r="N66" i="3"/>
  <c r="F66" i="3"/>
  <c r="E66" i="3"/>
  <c r="J65" i="3"/>
  <c r="O65" i="3"/>
  <c r="I65" i="3"/>
  <c r="F65" i="3"/>
  <c r="E65" i="3"/>
  <c r="J64" i="3"/>
  <c r="O64" i="3"/>
  <c r="I64" i="3"/>
  <c r="F64" i="3"/>
  <c r="E64" i="3"/>
  <c r="J63" i="3"/>
  <c r="O63" i="3"/>
  <c r="I63" i="3"/>
  <c r="N63" i="3"/>
  <c r="F63" i="3"/>
  <c r="E63" i="3"/>
  <c r="J62" i="3"/>
  <c r="O62" i="3"/>
  <c r="I62" i="3"/>
  <c r="N62" i="3"/>
  <c r="F62" i="3"/>
  <c r="J61" i="3"/>
  <c r="I61" i="3"/>
  <c r="N61" i="3"/>
  <c r="F61" i="3"/>
  <c r="E61" i="3"/>
  <c r="J60" i="3"/>
  <c r="O60" i="3"/>
  <c r="I60" i="3"/>
  <c r="N60" i="3"/>
  <c r="F60" i="3"/>
  <c r="E60" i="3"/>
  <c r="J59" i="3"/>
  <c r="O59" i="3"/>
  <c r="I59" i="3"/>
  <c r="N59" i="3"/>
  <c r="F59" i="3"/>
  <c r="E59" i="3"/>
  <c r="J58" i="3"/>
  <c r="O58" i="3"/>
  <c r="I58" i="3"/>
  <c r="N58" i="3"/>
  <c r="F58" i="3"/>
  <c r="E58" i="3"/>
  <c r="J57" i="3"/>
  <c r="I57" i="3"/>
  <c r="N57" i="3"/>
  <c r="F57" i="3"/>
  <c r="E57" i="3"/>
  <c r="J56" i="3"/>
  <c r="I56" i="3"/>
  <c r="N56" i="3"/>
  <c r="F56" i="3"/>
  <c r="E56" i="3"/>
  <c r="J55" i="3"/>
  <c r="O55" i="3"/>
  <c r="I55" i="3"/>
  <c r="N55" i="3"/>
  <c r="F55" i="3"/>
  <c r="E55" i="3"/>
  <c r="J54" i="3"/>
  <c r="O54" i="3"/>
  <c r="I54" i="3"/>
  <c r="N54" i="3"/>
  <c r="F54" i="3"/>
  <c r="E54" i="3"/>
  <c r="J53" i="3"/>
  <c r="I53" i="3"/>
  <c r="N53" i="3"/>
  <c r="F53" i="3"/>
  <c r="E53" i="3"/>
  <c r="J52" i="3"/>
  <c r="O52" i="3"/>
  <c r="I52" i="3"/>
  <c r="N52" i="3"/>
  <c r="F52" i="3"/>
  <c r="E52" i="3"/>
  <c r="J51" i="3"/>
  <c r="O51" i="3"/>
  <c r="I51" i="3"/>
  <c r="F51" i="3"/>
  <c r="E51" i="3"/>
  <c r="J50" i="3"/>
  <c r="O50" i="3"/>
  <c r="I50" i="3"/>
  <c r="F50" i="3"/>
  <c r="E50" i="3"/>
  <c r="J49" i="3"/>
  <c r="O49" i="3"/>
  <c r="I49" i="3"/>
  <c r="N49" i="3"/>
  <c r="F49" i="3"/>
  <c r="E49" i="3"/>
  <c r="J48" i="3"/>
  <c r="O48" i="3"/>
  <c r="I48" i="3"/>
  <c r="N48" i="3"/>
  <c r="F48" i="3"/>
  <c r="E48" i="3"/>
  <c r="J47" i="3"/>
  <c r="O47" i="3"/>
  <c r="I47" i="3"/>
  <c r="F47" i="3"/>
  <c r="E47" i="3"/>
  <c r="J46" i="3"/>
  <c r="O46" i="3"/>
  <c r="I46" i="3"/>
  <c r="M46" i="3"/>
  <c r="F46" i="3"/>
  <c r="E46" i="3"/>
  <c r="J45" i="3"/>
  <c r="O45" i="3"/>
  <c r="I45" i="3"/>
  <c r="N45" i="3"/>
  <c r="F45" i="3"/>
  <c r="E45" i="3"/>
  <c r="J44" i="3"/>
  <c r="O44" i="3"/>
  <c r="I44" i="3"/>
  <c r="N44" i="3"/>
  <c r="F44" i="3"/>
  <c r="E44" i="3"/>
  <c r="J43" i="3"/>
  <c r="O43" i="3"/>
  <c r="I43" i="3"/>
  <c r="N43" i="3"/>
  <c r="F43" i="3"/>
  <c r="E43" i="3"/>
  <c r="J42" i="3"/>
  <c r="O42" i="3"/>
  <c r="I42" i="3"/>
  <c r="F42" i="3"/>
  <c r="E42" i="3"/>
  <c r="J41" i="3"/>
  <c r="O41" i="3"/>
  <c r="I41" i="3"/>
  <c r="N41" i="3"/>
  <c r="F41" i="3"/>
  <c r="E41" i="3"/>
  <c r="J40" i="3"/>
  <c r="O40" i="3"/>
  <c r="I40" i="3"/>
  <c r="N40" i="3"/>
  <c r="F40" i="3"/>
  <c r="E40" i="3"/>
  <c r="J39" i="3"/>
  <c r="O39" i="3"/>
  <c r="I39" i="3"/>
  <c r="F39" i="3"/>
  <c r="E39" i="3"/>
  <c r="J38" i="3"/>
  <c r="O38" i="3"/>
  <c r="I38" i="3"/>
  <c r="N38" i="3"/>
  <c r="F38" i="3"/>
  <c r="E38" i="3"/>
  <c r="J37" i="3"/>
  <c r="O37" i="3"/>
  <c r="I37" i="3"/>
  <c r="F37" i="3"/>
  <c r="E37" i="3"/>
  <c r="J36" i="3"/>
  <c r="O36" i="3"/>
  <c r="I36" i="3"/>
  <c r="N36" i="3"/>
  <c r="F36" i="3"/>
  <c r="E36" i="3"/>
  <c r="J35" i="3"/>
  <c r="O35" i="3"/>
  <c r="I35" i="3"/>
  <c r="F35" i="3"/>
  <c r="E35" i="3"/>
  <c r="J34" i="3"/>
  <c r="O34" i="3"/>
  <c r="I34" i="3"/>
  <c r="N34" i="3"/>
  <c r="F34" i="3"/>
  <c r="E34" i="3"/>
  <c r="J33" i="3"/>
  <c r="O33" i="3"/>
  <c r="I33" i="3"/>
  <c r="F33" i="3"/>
  <c r="E33" i="3"/>
  <c r="J32" i="3"/>
  <c r="O32" i="3"/>
  <c r="I32" i="3"/>
  <c r="F32" i="3"/>
  <c r="J31" i="3"/>
  <c r="O31" i="3"/>
  <c r="I31" i="3"/>
  <c r="F31" i="3"/>
  <c r="E31" i="3"/>
  <c r="J30" i="3"/>
  <c r="I30" i="3"/>
  <c r="N30" i="3"/>
  <c r="F30" i="3"/>
  <c r="E30" i="3"/>
  <c r="J29" i="3"/>
  <c r="O29" i="3"/>
  <c r="I29" i="3"/>
  <c r="F29" i="3"/>
  <c r="E29" i="3"/>
  <c r="J28" i="3"/>
  <c r="O28" i="3"/>
  <c r="I28" i="3"/>
  <c r="N28" i="3"/>
  <c r="F28" i="3"/>
  <c r="E28" i="3"/>
  <c r="J27" i="3"/>
  <c r="O27" i="3"/>
  <c r="I27" i="3"/>
  <c r="N27" i="3"/>
  <c r="F27" i="3"/>
  <c r="E27" i="3"/>
  <c r="J26" i="3"/>
  <c r="I26" i="3"/>
  <c r="N26" i="3"/>
  <c r="F26" i="3"/>
  <c r="E26" i="3"/>
  <c r="J25" i="3"/>
  <c r="O25" i="3"/>
  <c r="I25" i="3"/>
  <c r="F25" i="3"/>
  <c r="E25" i="3"/>
  <c r="J24" i="3"/>
  <c r="O24" i="3"/>
  <c r="I24" i="3"/>
  <c r="N24" i="3"/>
  <c r="F24" i="3"/>
  <c r="E24" i="3"/>
  <c r="J23" i="3"/>
  <c r="O23" i="3"/>
  <c r="I23" i="3"/>
  <c r="N23" i="3"/>
  <c r="F23" i="3"/>
  <c r="E23" i="3"/>
  <c r="J22" i="3"/>
  <c r="O22" i="3"/>
  <c r="I22" i="3"/>
  <c r="N22" i="3"/>
  <c r="F22" i="3"/>
  <c r="E22" i="3"/>
  <c r="J21" i="3"/>
  <c r="N21" i="3"/>
  <c r="F21" i="3"/>
  <c r="E21" i="3"/>
  <c r="J20" i="3"/>
  <c r="I20" i="3"/>
  <c r="N20" i="3"/>
  <c r="F20" i="3"/>
  <c r="E20" i="3"/>
  <c r="J19" i="3"/>
  <c r="O19" i="3"/>
  <c r="I19" i="3"/>
  <c r="N19" i="3"/>
  <c r="F19" i="3"/>
  <c r="E19" i="3"/>
  <c r="J18" i="3"/>
  <c r="O18" i="3"/>
  <c r="I18" i="3"/>
  <c r="N18" i="3"/>
  <c r="F18" i="3"/>
  <c r="E18" i="3"/>
  <c r="J17" i="3"/>
  <c r="I17" i="3"/>
  <c r="N17" i="3"/>
  <c r="F17" i="3"/>
  <c r="E17" i="3"/>
  <c r="J16" i="3"/>
  <c r="I16" i="3"/>
  <c r="N16" i="3"/>
  <c r="F16" i="3"/>
  <c r="E16" i="3"/>
  <c r="J15" i="3"/>
  <c r="K15" i="3"/>
  <c r="N15" i="3"/>
  <c r="F15" i="3"/>
  <c r="E15" i="3"/>
  <c r="J14" i="3"/>
  <c r="O14" i="3"/>
  <c r="N14" i="3"/>
  <c r="F14" i="3"/>
  <c r="E14" i="3"/>
  <c r="J13" i="3"/>
  <c r="N13" i="3"/>
  <c r="F13" i="3"/>
  <c r="E13" i="3"/>
  <c r="M15" i="3"/>
  <c r="J12" i="3"/>
  <c r="O12" i="3"/>
  <c r="N12" i="3"/>
  <c r="F12" i="3"/>
  <c r="E12" i="3"/>
  <c r="O11" i="3"/>
  <c r="N11" i="3"/>
  <c r="O10" i="3"/>
  <c r="O9" i="3"/>
  <c r="N9" i="3"/>
  <c r="O8" i="3"/>
  <c r="N8" i="3"/>
  <c r="O7" i="3"/>
  <c r="O6" i="3"/>
  <c r="O5" i="3"/>
  <c r="N5" i="3"/>
  <c r="O4" i="3"/>
  <c r="N4" i="3"/>
  <c r="O3" i="3"/>
  <c r="K80" i="3"/>
  <c r="K3" i="2"/>
  <c r="K74" i="2"/>
  <c r="K78" i="2"/>
  <c r="K39" i="2"/>
  <c r="K79" i="2"/>
  <c r="K4" i="2"/>
  <c r="K33" i="3"/>
  <c r="K31" i="2"/>
  <c r="K73" i="2"/>
  <c r="K77" i="2"/>
  <c r="K81" i="2"/>
  <c r="K71" i="2"/>
  <c r="K64" i="2"/>
  <c r="K37" i="2"/>
  <c r="K28" i="2"/>
  <c r="M32" i="2"/>
  <c r="M39" i="2"/>
  <c r="K88" i="2"/>
  <c r="K25" i="2"/>
  <c r="K29" i="2"/>
  <c r="K66" i="2"/>
  <c r="N29" i="2"/>
  <c r="K40" i="2"/>
  <c r="K85" i="2"/>
  <c r="M33" i="2"/>
  <c r="K52" i="2"/>
  <c r="M37" i="2"/>
  <c r="K41" i="2"/>
  <c r="M61" i="2"/>
  <c r="K27" i="2"/>
  <c r="K68" i="2"/>
  <c r="K35" i="2"/>
  <c r="K65" i="2"/>
  <c r="M75" i="2"/>
  <c r="K76" i="2"/>
  <c r="K80" i="2"/>
  <c r="M33" i="3"/>
  <c r="K32" i="3"/>
  <c r="M58" i="3"/>
  <c r="K47" i="3"/>
  <c r="K50" i="3"/>
  <c r="K51" i="3"/>
  <c r="K6" i="2"/>
  <c r="K9" i="2"/>
  <c r="K26" i="2"/>
  <c r="K33" i="2"/>
  <c r="K69" i="2"/>
  <c r="K82" i="2"/>
  <c r="K22" i="3"/>
  <c r="K46" i="2"/>
  <c r="M79" i="2"/>
  <c r="K37" i="3"/>
  <c r="K43" i="2"/>
  <c r="M76" i="2"/>
  <c r="N33" i="3"/>
  <c r="K10" i="2"/>
  <c r="K34" i="2"/>
  <c r="M40" i="2"/>
  <c r="K63" i="2"/>
  <c r="K70" i="2"/>
  <c r="M73" i="2"/>
  <c r="K89" i="2"/>
  <c r="K86" i="2"/>
  <c r="M34" i="2"/>
  <c r="K50" i="2"/>
  <c r="K67" i="2"/>
  <c r="K83" i="2"/>
  <c r="K47" i="2"/>
  <c r="M80" i="2"/>
  <c r="K31" i="3"/>
  <c r="M45" i="3"/>
  <c r="K38" i="2"/>
  <c r="K44" i="2"/>
  <c r="M77" i="2"/>
  <c r="K11" i="2"/>
  <c r="N28" i="2"/>
  <c r="M41" i="2"/>
  <c r="M74" i="2"/>
  <c r="K90" i="2"/>
  <c r="K49" i="2"/>
  <c r="K8" i="2"/>
  <c r="M38" i="2"/>
  <c r="K61" i="2"/>
  <c r="N64" i="2"/>
  <c r="K87" i="2"/>
  <c r="M42" i="3"/>
  <c r="K5" i="2"/>
  <c r="M35" i="2"/>
  <c r="K51" i="2"/>
  <c r="O61" i="2"/>
  <c r="K84" i="2"/>
  <c r="N25" i="2"/>
  <c r="K48" i="2"/>
  <c r="N68" i="2"/>
  <c r="M81" i="2"/>
  <c r="K2" i="2"/>
  <c r="M31" i="2"/>
  <c r="K45" i="2"/>
  <c r="M78" i="2"/>
  <c r="K36" i="2"/>
  <c r="K91" i="2"/>
  <c r="K84" i="3"/>
  <c r="K88" i="3"/>
  <c r="N72" i="3"/>
  <c r="K76" i="3"/>
  <c r="K63" i="3"/>
  <c r="M60" i="3"/>
  <c r="K55" i="3"/>
  <c r="K60" i="3"/>
  <c r="M55" i="3"/>
  <c r="K49" i="3"/>
  <c r="K42" i="3"/>
  <c r="M40" i="3"/>
  <c r="M36" i="3"/>
  <c r="N31" i="3"/>
  <c r="K28" i="3"/>
  <c r="O15" i="3"/>
  <c r="K16" i="3"/>
  <c r="M19" i="3"/>
  <c r="K82" i="3"/>
  <c r="K86" i="3"/>
  <c r="K90" i="3"/>
  <c r="K74" i="3"/>
  <c r="K78" i="3"/>
  <c r="K62" i="3"/>
  <c r="K64" i="3"/>
  <c r="K71" i="3"/>
  <c r="N64" i="3"/>
  <c r="K67" i="3"/>
  <c r="K68" i="3"/>
  <c r="K56" i="3"/>
  <c r="K59" i="3"/>
  <c r="K54" i="3"/>
  <c r="O56" i="3"/>
  <c r="M59" i="3"/>
  <c r="K52" i="3"/>
  <c r="M54" i="3"/>
  <c r="K58" i="3"/>
  <c r="M49" i="3"/>
  <c r="K44" i="3"/>
  <c r="N47" i="3"/>
  <c r="M50" i="3"/>
  <c r="K43" i="3"/>
  <c r="K45" i="3"/>
  <c r="K46" i="3"/>
  <c r="K48" i="3"/>
  <c r="M41" i="3"/>
  <c r="M37" i="3"/>
  <c r="K38" i="3"/>
  <c r="K34" i="3"/>
  <c r="N37" i="3"/>
  <c r="K41" i="3"/>
  <c r="K27" i="3"/>
  <c r="K23" i="3"/>
  <c r="K24" i="3"/>
  <c r="K14" i="3"/>
  <c r="O16" i="3"/>
  <c r="K20" i="3"/>
  <c r="K12" i="3"/>
  <c r="M14" i="3"/>
  <c r="K18" i="3"/>
  <c r="O20" i="3"/>
  <c r="M20" i="3"/>
  <c r="M18" i="3"/>
  <c r="K19" i="3"/>
  <c r="N2" i="3"/>
  <c r="N3" i="2"/>
  <c r="N4" i="2"/>
  <c r="N5" i="2"/>
  <c r="N6" i="2"/>
  <c r="N26" i="2"/>
  <c r="N30" i="2"/>
  <c r="K32" i="2"/>
  <c r="N32" i="2"/>
  <c r="N66" i="2"/>
  <c r="N70" i="2"/>
  <c r="K72" i="2"/>
  <c r="N72" i="2"/>
  <c r="M11" i="2"/>
  <c r="M10" i="2"/>
  <c r="M9" i="2"/>
  <c r="M8" i="2"/>
  <c r="M7" i="2"/>
  <c r="K7" i="2"/>
  <c r="N27" i="2"/>
  <c r="N31" i="2"/>
  <c r="M51" i="2"/>
  <c r="M50" i="2"/>
  <c r="M49" i="2"/>
  <c r="M48" i="2"/>
  <c r="M47" i="2"/>
  <c r="M46" i="2"/>
  <c r="M45" i="2"/>
  <c r="M44" i="2"/>
  <c r="M43" i="2"/>
  <c r="M42" i="2"/>
  <c r="N63" i="2"/>
  <c r="N67" i="2"/>
  <c r="N71" i="2"/>
  <c r="M91" i="2"/>
  <c r="M90" i="2"/>
  <c r="M89" i="2"/>
  <c r="M88" i="2"/>
  <c r="M87" i="2"/>
  <c r="M86" i="2"/>
  <c r="M85" i="2"/>
  <c r="M84" i="2"/>
  <c r="M83" i="2"/>
  <c r="M82" i="2"/>
  <c r="M2" i="2"/>
  <c r="M3" i="2"/>
  <c r="M4" i="2"/>
  <c r="M5" i="2"/>
  <c r="M6" i="2"/>
  <c r="O62" i="2"/>
  <c r="K62" i="2"/>
  <c r="N33" i="2"/>
  <c r="N34" i="2"/>
  <c r="N35" i="2"/>
  <c r="N36" i="2"/>
  <c r="N37" i="2"/>
  <c r="N38" i="2"/>
  <c r="N39" i="2"/>
  <c r="N40" i="2"/>
  <c r="N41" i="2"/>
  <c r="K53" i="2"/>
  <c r="K54" i="2"/>
  <c r="K55" i="2"/>
  <c r="K56" i="2"/>
  <c r="K57" i="2"/>
  <c r="K58" i="2"/>
  <c r="K59" i="2"/>
  <c r="K60" i="2"/>
  <c r="N73" i="2"/>
  <c r="N74" i="2"/>
  <c r="N75" i="2"/>
  <c r="N76" i="2"/>
  <c r="N77" i="2"/>
  <c r="N78" i="2"/>
  <c r="N79" i="2"/>
  <c r="N80" i="2"/>
  <c r="N81" i="2"/>
  <c r="M15" i="2"/>
  <c r="N42" i="2"/>
  <c r="M52" i="2"/>
  <c r="M53" i="2"/>
  <c r="M54" i="2"/>
  <c r="M55" i="2"/>
  <c r="M56" i="2"/>
  <c r="M57" i="2"/>
  <c r="M58" i="2"/>
  <c r="M59" i="2"/>
  <c r="M60" i="2"/>
  <c r="N82" i="2"/>
  <c r="M25" i="2"/>
  <c r="M26" i="2"/>
  <c r="M27" i="2"/>
  <c r="M28" i="2"/>
  <c r="M29" i="2"/>
  <c r="M30" i="2"/>
  <c r="M62" i="2"/>
  <c r="M63" i="2"/>
  <c r="M64" i="2"/>
  <c r="M65" i="2"/>
  <c r="M66" i="2"/>
  <c r="M67" i="2"/>
  <c r="M68" i="2"/>
  <c r="M69" i="2"/>
  <c r="M70" i="2"/>
  <c r="O30" i="3"/>
  <c r="K30" i="3"/>
  <c r="N69" i="3"/>
  <c r="K69" i="3"/>
  <c r="O26" i="3"/>
  <c r="K26" i="3"/>
  <c r="M51" i="3"/>
  <c r="N51" i="3"/>
  <c r="O57" i="3"/>
  <c r="K57" i="3"/>
  <c r="O2" i="3"/>
  <c r="O17" i="3"/>
  <c r="K17" i="3"/>
  <c r="N25" i="3"/>
  <c r="K25" i="3"/>
  <c r="K35" i="3"/>
  <c r="N35" i="3"/>
  <c r="M35" i="3"/>
  <c r="O61" i="3"/>
  <c r="K61" i="3"/>
  <c r="O21" i="3"/>
  <c r="K21" i="3"/>
  <c r="O53" i="3"/>
  <c r="K53" i="3"/>
  <c r="O66" i="3"/>
  <c r="K66" i="3"/>
  <c r="N6" i="3"/>
  <c r="N3" i="3"/>
  <c r="N7" i="3"/>
  <c r="O13" i="3"/>
  <c r="K13" i="3"/>
  <c r="N29" i="3"/>
  <c r="K29" i="3"/>
  <c r="K39" i="3"/>
  <c r="N39" i="3"/>
  <c r="M39" i="3"/>
  <c r="N65" i="3"/>
  <c r="K65" i="3"/>
  <c r="O70" i="3"/>
  <c r="K70" i="3"/>
  <c r="M13" i="3"/>
  <c r="M17" i="3"/>
  <c r="M21" i="3"/>
  <c r="N32" i="3"/>
  <c r="M44" i="3"/>
  <c r="M48" i="3"/>
  <c r="M53" i="3"/>
  <c r="M57" i="3"/>
  <c r="M61" i="3"/>
  <c r="K73" i="3"/>
  <c r="K75" i="3"/>
  <c r="K77" i="3"/>
  <c r="K79" i="3"/>
  <c r="K81" i="3"/>
  <c r="K83" i="3"/>
  <c r="K85" i="3"/>
  <c r="K87" i="3"/>
  <c r="K89" i="3"/>
  <c r="K91" i="3"/>
  <c r="N10" i="3"/>
  <c r="M31" i="3"/>
  <c r="M30" i="3"/>
  <c r="M29" i="3"/>
  <c r="M28" i="3"/>
  <c r="M27" i="3"/>
  <c r="M26" i="3"/>
  <c r="M25" i="3"/>
  <c r="M24" i="3"/>
  <c r="M23" i="3"/>
  <c r="M22" i="3"/>
  <c r="M32" i="3"/>
  <c r="N42" i="3"/>
  <c r="N46" i="3"/>
  <c r="N50" i="3"/>
  <c r="M71" i="3"/>
  <c r="M70" i="3"/>
  <c r="M69" i="3"/>
  <c r="M68" i="3"/>
  <c r="M67" i="3"/>
  <c r="M66" i="3"/>
  <c r="M65" i="3"/>
  <c r="M64" i="3"/>
  <c r="M63" i="3"/>
  <c r="M62" i="3"/>
  <c r="M12" i="3"/>
  <c r="M16" i="3"/>
  <c r="M34" i="3"/>
  <c r="K36" i="3"/>
  <c r="M38" i="3"/>
  <c r="K40" i="3"/>
  <c r="M43" i="3"/>
  <c r="M47" i="3"/>
  <c r="M52" i="3"/>
  <c r="M56" i="3"/>
  <c r="K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R16" i="6" l="1"/>
  <c r="O11" i="6"/>
  <c r="O6" i="6"/>
  <c r="Q6" i="6"/>
  <c r="M87" i="4"/>
  <c r="M90" i="4"/>
  <c r="M88" i="4"/>
  <c r="M86" i="4"/>
  <c r="M85" i="4"/>
  <c r="M84" i="4"/>
  <c r="M82" i="4"/>
  <c r="M89" i="4"/>
  <c r="M80" i="4"/>
  <c r="M73" i="4"/>
  <c r="M81" i="4"/>
  <c r="M79" i="4"/>
  <c r="M77" i="4"/>
  <c r="M74" i="4"/>
  <c r="M64" i="4"/>
  <c r="M65" i="4"/>
  <c r="M68" i="4"/>
  <c r="M71" i="4"/>
  <c r="M62" i="4"/>
  <c r="M67" i="4"/>
  <c r="M66" i="4"/>
  <c r="M58" i="4"/>
  <c r="M44" i="4"/>
  <c r="M49" i="4"/>
  <c r="M46" i="4"/>
  <c r="M43" i="4"/>
  <c r="M45" i="4"/>
  <c r="M42" i="4"/>
  <c r="M50" i="4"/>
  <c r="M48" i="4"/>
  <c r="M51" i="4"/>
  <c r="M35" i="4"/>
  <c r="M33" i="4"/>
  <c r="M32" i="4"/>
  <c r="M37" i="4"/>
  <c r="M38" i="4"/>
  <c r="M40" i="4"/>
  <c r="M41" i="4"/>
  <c r="M34" i="4"/>
  <c r="M39" i="4"/>
  <c r="M19" i="4"/>
  <c r="M14" i="4"/>
  <c r="M15" i="4"/>
  <c r="M17" i="4"/>
  <c r="M20" i="4"/>
  <c r="M12" i="4"/>
  <c r="M13" i="4"/>
  <c r="M21" i="4"/>
  <c r="K21" i="4"/>
  <c r="M72" i="4"/>
  <c r="M27" i="4"/>
  <c r="K18" i="4"/>
  <c r="M91" i="4"/>
  <c r="M78" i="4"/>
  <c r="M76" i="4"/>
  <c r="K67" i="4"/>
  <c r="K15" i="4"/>
  <c r="M70" i="4"/>
  <c r="N79" i="4"/>
  <c r="N27" i="4"/>
  <c r="N67" i="4"/>
  <c r="K24" i="4"/>
  <c r="M55" i="4"/>
  <c r="K41" i="4"/>
  <c r="K58" i="4"/>
  <c r="K89" i="4"/>
  <c r="M69" i="4"/>
  <c r="M22" i="4"/>
  <c r="K13" i="4"/>
  <c r="K42" i="4"/>
  <c r="K32" i="4"/>
  <c r="K91" i="4"/>
  <c r="M75" i="4"/>
  <c r="K88" i="4"/>
  <c r="N39" i="4"/>
  <c r="N72" i="4"/>
  <c r="N24" i="4"/>
  <c r="M36" i="4"/>
  <c r="K48" i="4"/>
  <c r="M63" i="4"/>
  <c r="M18" i="4"/>
  <c r="M47" i="4"/>
  <c r="M16" i="4"/>
  <c r="M53" i="4"/>
  <c r="M25" i="4"/>
  <c r="N31" i="4"/>
  <c r="K31" i="4"/>
  <c r="K35" i="4"/>
  <c r="K39" i="4"/>
  <c r="K83" i="4"/>
  <c r="K64" i="4"/>
  <c r="K38" i="4"/>
  <c r="K75" i="4"/>
  <c r="M83" i="4"/>
  <c r="M10" i="4"/>
  <c r="M9" i="4"/>
  <c r="M2" i="4"/>
  <c r="M7" i="4"/>
  <c r="M5" i="4"/>
  <c r="M3" i="4"/>
  <c r="M4" i="4"/>
  <c r="M11" i="4"/>
  <c r="K6" i="4"/>
  <c r="M6" i="4"/>
  <c r="N8" i="4"/>
  <c r="M8" i="4"/>
  <c r="N4" i="4"/>
  <c r="M16" i="2"/>
  <c r="N19" i="2"/>
  <c r="M20" i="2"/>
  <c r="K22" i="2"/>
  <c r="K12" i="2"/>
  <c r="M22" i="2"/>
  <c r="K24" i="2"/>
  <c r="K15" i="2"/>
  <c r="K21" i="2"/>
  <c r="N12" i="2"/>
  <c r="M24" i="2"/>
  <c r="M14" i="2"/>
  <c r="K13" i="2"/>
  <c r="K16" i="2"/>
  <c r="K20" i="2"/>
  <c r="K17" i="2"/>
  <c r="K19" i="2"/>
  <c r="M18" i="2"/>
  <c r="M23" i="2"/>
  <c r="N13" i="2"/>
  <c r="O19" i="2"/>
  <c r="K18" i="2"/>
  <c r="M12" i="2"/>
  <c r="K23" i="2"/>
  <c r="M13" i="2"/>
</calcChain>
</file>

<file path=xl/sharedStrings.xml><?xml version="1.0" encoding="utf-8"?>
<sst xmlns="http://schemas.openxmlformats.org/spreadsheetml/2006/main" count="162" uniqueCount="34">
  <si>
    <t>V+ (VCC)</t>
  </si>
  <si>
    <t>V- (VE)</t>
  </si>
  <si>
    <t>V(Q1C) (Volt)</t>
  </si>
  <si>
    <t>V(Q1B) (Volt)</t>
  </si>
  <si>
    <t>VCE (Volt)</t>
  </si>
  <si>
    <t>VBEon (Volt)</t>
  </si>
  <si>
    <t>RC (ohm)</t>
  </si>
  <si>
    <t>RB (ohm)</t>
  </si>
  <si>
    <t>IC (A)</t>
  </si>
  <si>
    <t>IB (A)</t>
  </si>
  <si>
    <r>
      <rPr>
        <sz val="11"/>
        <color theme="1"/>
        <rFont val="Symbol"/>
        <family val="1"/>
        <charset val="2"/>
      </rPr>
      <t>b</t>
    </r>
    <r>
      <rPr>
        <sz val="11"/>
        <color theme="1"/>
        <rFont val="Calibri"/>
        <family val="2"/>
        <scheme val="minor"/>
      </rPr>
      <t xml:space="preserve"> = IC/IB</t>
    </r>
  </si>
  <si>
    <t>|VA| (V)</t>
  </si>
  <si>
    <t>ro=VA/IC</t>
  </si>
  <si>
    <t>gm = IC/25mV</t>
  </si>
  <si>
    <r>
      <t>r</t>
    </r>
    <r>
      <rPr>
        <sz val="11"/>
        <color theme="1"/>
        <rFont val="Symbol"/>
        <family val="1"/>
        <charset val="2"/>
      </rPr>
      <t>p</t>
    </r>
    <r>
      <rPr>
        <sz val="11"/>
        <color theme="1"/>
        <rFont val="Calibri"/>
        <family val="2"/>
      </rPr>
      <t xml:space="preserve"> = 25mV/IB</t>
    </r>
  </si>
  <si>
    <t>y=mx+b</t>
  </si>
  <si>
    <t>implies</t>
  </si>
  <si>
    <t>x=(y-b)/m</t>
  </si>
  <si>
    <t>when</t>
  </si>
  <si>
    <t>y = 0</t>
  </si>
  <si>
    <t xml:space="preserve"> x=-b/m</t>
  </si>
  <si>
    <t>m</t>
  </si>
  <si>
    <t>b</t>
  </si>
  <si>
    <t>x-intercept</t>
  </si>
  <si>
    <t>Channel 1 (VC)</t>
  </si>
  <si>
    <t>Channel 2 (VB)</t>
  </si>
  <si>
    <t>V+ (VE)</t>
  </si>
  <si>
    <t>V- (VCC)</t>
  </si>
  <si>
    <t>VEC (Volt)</t>
  </si>
  <si>
    <t>VEBon (Volt)</t>
  </si>
  <si>
    <t xml:space="preserve">                V_VCC</t>
  </si>
  <si>
    <t xml:space="preserve">              V(Q1:B)</t>
  </si>
  <si>
    <t xml:space="preserve">              V(R2:1)</t>
  </si>
  <si>
    <t xml:space="preserve">              V(Q1:C)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</si>
</sst>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Arial"/>
      <charset val="1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horizontal="center"/>
    </xf>
    <xf numFmtId="164" fontId="0" fillId="4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" fontId="0" fillId="4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1" fontId="0" fillId="4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1" fontId="0" fillId="3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1" fontId="0" fillId="2" borderId="0" xfId="0" applyNumberFormat="1" applyFill="1" applyAlignment="1">
      <alignment horizontal="center"/>
    </xf>
    <xf numFmtId="1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1" fontId="0" fillId="4" borderId="0" xfId="0" applyNumberFormat="1" applyFill="1" applyAlignment="1">
      <alignment horizontal="center" vertical="center"/>
    </xf>
    <xf numFmtId="11" fontId="0" fillId="3" borderId="0" xfId="0" applyNumberFormat="1" applyFill="1" applyAlignment="1">
      <alignment horizontal="center" vertical="center"/>
    </xf>
    <xf numFmtId="11" fontId="0" fillId="2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11" fontId="0" fillId="5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1" fontId="0" fillId="5" borderId="0" xfId="0" applyNumberFormat="1" applyFill="1" applyAlignment="1">
      <alignment horizontal="center" vertical="center"/>
    </xf>
    <xf numFmtId="164" fontId="0" fillId="5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4" borderId="1" xfId="0" applyFill="1" applyBorder="1"/>
    <xf numFmtId="0" fontId="6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11" fontId="0" fillId="6" borderId="0" xfId="0" applyNumberFormat="1" applyFill="1" applyAlignment="1">
      <alignment horizontal="center"/>
    </xf>
    <xf numFmtId="0" fontId="0" fillId="5" borderId="1" xfId="0" applyFill="1" applyBorder="1"/>
    <xf numFmtId="0" fontId="0" fillId="3" borderId="1" xfId="0" applyFill="1" applyBorder="1"/>
    <xf numFmtId="0" fontId="0" fillId="2" borderId="1" xfId="0" applyFill="1" applyBorder="1"/>
    <xf numFmtId="0" fontId="4" fillId="4" borderId="1" xfId="1" applyFont="1" applyFill="1" applyBorder="1"/>
    <xf numFmtId="0" fontId="0" fillId="3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164" fontId="0" fillId="7" borderId="5" xfId="0" applyNumberFormat="1" applyFill="1" applyBorder="1" applyAlignment="1">
      <alignment horizontal="center"/>
    </xf>
    <xf numFmtId="11" fontId="0" fillId="7" borderId="5" xfId="0" applyNumberFormat="1" applyFill="1" applyBorder="1" applyAlignment="1">
      <alignment horizontal="center"/>
    </xf>
    <xf numFmtId="1" fontId="0" fillId="7" borderId="7" xfId="0" applyNumberFormat="1" applyFill="1" applyBorder="1" applyAlignment="1">
      <alignment horizontal="center"/>
    </xf>
    <xf numFmtId="11" fontId="0" fillId="7" borderId="4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" fontId="0" fillId="2" borderId="8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11" fontId="0" fillId="7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11" fontId="0" fillId="7" borderId="0" xfId="0" applyNumberFormat="1" applyFill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1" fontId="0" fillId="0" borderId="10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164" fontId="0" fillId="7" borderId="13" xfId="0" applyNumberFormat="1" applyFill="1" applyBorder="1" applyAlignment="1">
      <alignment horizontal="center"/>
    </xf>
    <xf numFmtId="11" fontId="0" fillId="7" borderId="13" xfId="0" applyNumberFormat="1" applyFill="1" applyBorder="1" applyAlignment="1">
      <alignment horizontal="center"/>
    </xf>
    <xf numFmtId="1" fontId="0" fillId="7" borderId="13" xfId="0" applyNumberFormat="1" applyFill="1" applyBorder="1" applyAlignment="1">
      <alignment horizontal="center"/>
    </xf>
    <xf numFmtId="1" fontId="0" fillId="7" borderId="13" xfId="0" applyNumberFormat="1" applyFill="1" applyBorder="1" applyAlignment="1">
      <alignment horizontal="center" vertical="center"/>
    </xf>
    <xf numFmtId="11" fontId="0" fillId="7" borderId="13" xfId="0" applyNumberFormat="1" applyFill="1" applyBorder="1" applyAlignment="1">
      <alignment horizontal="center" vertical="center"/>
    </xf>
    <xf numFmtId="1" fontId="0" fillId="7" borderId="14" xfId="0" applyNumberFormat="1" applyFill="1" applyBorder="1" applyAlignment="1">
      <alignment horizontal="center"/>
    </xf>
    <xf numFmtId="0" fontId="0" fillId="7" borderId="1" xfId="0" applyFill="1" applyBorder="1"/>
    <xf numFmtId="0" fontId="0" fillId="7" borderId="13" xfId="0" applyFill="1" applyBorder="1"/>
    <xf numFmtId="2" fontId="0" fillId="7" borderId="0" xfId="0" applyNumberFormat="1" applyFill="1" applyAlignment="1">
      <alignment horizontal="center"/>
    </xf>
    <xf numFmtId="164" fontId="0" fillId="7" borderId="0" xfId="0" applyNumberFormat="1" applyFill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7" borderId="13" xfId="0" applyNumberFormat="1" applyFill="1" applyBorder="1" applyAlignment="1">
      <alignment horizontal="center"/>
    </xf>
    <xf numFmtId="11" fontId="0" fillId="7" borderId="13" xfId="0" applyNumberFormat="1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3.xml"/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7.xml"/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8.xml"/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9.xml"/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0.xml"/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1.xml"/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2.xml"/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3.xml"/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4.xml"/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5.xml"/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6.xml"/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7.xml"/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8.xml"/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VE = -5 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5908170546742368"/>
                  <c:y val="-0.128877602876480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1.2-1.4'!$E$2:$E$11</c:f>
              <c:numCache>
                <c:formatCode>0.000</c:formatCode>
                <c:ptCount val="10"/>
                <c:pt idx="0">
                  <c:v>4.9419471692057675</c:v>
                </c:pt>
                <c:pt idx="1">
                  <c:v>5.441647470650337</c:v>
                </c:pt>
                <c:pt idx="2">
                  <c:v>5.9413477720084433</c:v>
                </c:pt>
                <c:pt idx="3">
                  <c:v>6.4410480732761002</c:v>
                </c:pt>
                <c:pt idx="4">
                  <c:v>6.9407483744580798</c:v>
                </c:pt>
                <c:pt idx="5">
                  <c:v>7.4404486755478096</c:v>
                </c:pt>
                <c:pt idx="6">
                  <c:v>7.9401489765510398</c:v>
                </c:pt>
                <c:pt idx="7">
                  <c:v>8.4398492774660294</c:v>
                </c:pt>
                <c:pt idx="8">
                  <c:v>8.9395495782908494</c:v>
                </c:pt>
                <c:pt idx="9">
                  <c:v>9.4392498790272104</c:v>
                </c:pt>
              </c:numCache>
            </c:numRef>
          </c:xVal>
          <c:yVal>
            <c:numRef>
              <c:f>'Steps 1.2-1.4'!$I$2:$I$11</c:f>
              <c:numCache>
                <c:formatCode>0.00E+00</c:formatCode>
                <c:ptCount val="10"/>
                <c:pt idx="0">
                  <c:v>5.5805283079423292E-3</c:v>
                </c:pt>
                <c:pt idx="1">
                  <c:v>5.5835252934966296E-3</c:v>
                </c:pt>
                <c:pt idx="2">
                  <c:v>5.5865222799155699E-3</c:v>
                </c:pt>
                <c:pt idx="3">
                  <c:v>5.5895192672390003E-3</c:v>
                </c:pt>
                <c:pt idx="4">
                  <c:v>5.5925162554192002E-3</c:v>
                </c:pt>
                <c:pt idx="5">
                  <c:v>5.5955132445218991E-3</c:v>
                </c:pt>
                <c:pt idx="6">
                  <c:v>5.5985102344896023E-3</c:v>
                </c:pt>
                <c:pt idx="7">
                  <c:v>5.6015072253397013E-3</c:v>
                </c:pt>
                <c:pt idx="8">
                  <c:v>5.6045042170915016E-3</c:v>
                </c:pt>
                <c:pt idx="9">
                  <c:v>5.6075012097278965E-3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42-4F5B-904B-37210A535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8223"/>
        <c:axId val="1778969055"/>
      </c:scatterChart>
      <c:valAx>
        <c:axId val="1778968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VCE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9055"/>
        <c:crosses val="autoZero"/>
        <c:crossBetween val="midCat"/>
      </c:valAx>
      <c:valAx>
        <c:axId val="177896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8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VE = -3.5V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0031782070057281"/>
                  <c:y val="-0.128877602876480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1.2-1.4'!$E$12:$E$21</c:f>
              <c:numCache>
                <c:formatCode>0.000</c:formatCode>
                <c:ptCount val="10"/>
                <c:pt idx="0">
                  <c:v>4.5027908889999999</c:v>
                </c:pt>
                <c:pt idx="1">
                  <c:v>5.0025238850000004</c:v>
                </c:pt>
                <c:pt idx="2">
                  <c:v>5.50225688</c:v>
                </c:pt>
                <c:pt idx="3">
                  <c:v>6.0019898749999996</c:v>
                </c:pt>
                <c:pt idx="4">
                  <c:v>6.501722869</c:v>
                </c:pt>
                <c:pt idx="5">
                  <c:v>7.0014558620000003</c:v>
                </c:pt>
                <c:pt idx="6">
                  <c:v>7.5011888550000005</c:v>
                </c:pt>
                <c:pt idx="7">
                  <c:v>8.0009218470000008</c:v>
                </c:pt>
                <c:pt idx="8">
                  <c:v>8.5006548379999991</c:v>
                </c:pt>
                <c:pt idx="9">
                  <c:v>9.000387829000001</c:v>
                </c:pt>
              </c:numCache>
            </c:numRef>
          </c:xVal>
          <c:yVal>
            <c:numRef>
              <c:f>'Steps 1.2-1.4'!$I$12:$I$21</c:f>
              <c:numCache>
                <c:formatCode>0.00E+00</c:formatCode>
                <c:ptCount val="10"/>
                <c:pt idx="0">
                  <c:v>4.9720911100000001E-3</c:v>
                </c:pt>
                <c:pt idx="1">
                  <c:v>4.9747611499999997E-3</c:v>
                </c:pt>
                <c:pt idx="2">
                  <c:v>4.9774312000000001E-3</c:v>
                </c:pt>
                <c:pt idx="3">
                  <c:v>4.9801012499999997E-3</c:v>
                </c:pt>
                <c:pt idx="4">
                  <c:v>4.9827713100000001E-3</c:v>
                </c:pt>
                <c:pt idx="5">
                  <c:v>4.9854413800000021E-3</c:v>
                </c:pt>
                <c:pt idx="6">
                  <c:v>4.988111449999999E-3</c:v>
                </c:pt>
                <c:pt idx="7">
                  <c:v>4.990781530000001E-3</c:v>
                </c:pt>
                <c:pt idx="8">
                  <c:v>4.9934516200000004E-3</c:v>
                </c:pt>
                <c:pt idx="9">
                  <c:v>4.996121709999999E-3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07-4DAE-87A0-7FAEFE092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3135"/>
        <c:axId val="1283855631"/>
      </c:scatterChart>
      <c:valAx>
        <c:axId val="128385313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5631"/>
        <c:crosses val="autoZero"/>
        <c:crossBetween val="midCat"/>
      </c:valAx>
      <c:valAx>
        <c:axId val="128385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3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VE = -2.5V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4273536140887034"/>
                  <c:y val="-0.109721519093924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strRef>
              <c:f>'[1]Step 1'!#REF!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'[1]Step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91-4EA5-9A05-6E62F2D35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4063"/>
        <c:axId val="1778954495"/>
      </c:scatterChart>
      <c:valAx>
        <c:axId val="177896406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4495"/>
        <c:crosses val="autoZero"/>
        <c:crossBetween val="midCat"/>
      </c:valAx>
      <c:valAx>
        <c:axId val="177895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4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VE = -2V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604680681700847"/>
                  <c:y val="-0.122748058811869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1.2-1.4'!$E$22:$E$31</c:f>
              <c:numCache>
                <c:formatCode>0.000</c:formatCode>
                <c:ptCount val="10"/>
                <c:pt idx="0">
                  <c:v>4.0652133690000003</c:v>
                </c:pt>
                <c:pt idx="1">
                  <c:v>4.5649799250000003</c:v>
                </c:pt>
                <c:pt idx="2">
                  <c:v>5.0647464769999999</c:v>
                </c:pt>
                <c:pt idx="3">
                  <c:v>5.5645130229999999</c:v>
                </c:pt>
                <c:pt idx="4">
                  <c:v>6.0642795659999997</c:v>
                </c:pt>
                <c:pt idx="5">
                  <c:v>6.5640461029999999</c:v>
                </c:pt>
                <c:pt idx="6">
                  <c:v>7.0638126940000001</c:v>
                </c:pt>
                <c:pt idx="7">
                  <c:v>7.5635792100000003</c:v>
                </c:pt>
                <c:pt idx="8">
                  <c:v>8.0633458010000005</c:v>
                </c:pt>
                <c:pt idx="9">
                  <c:v>8.5631123179999999</c:v>
                </c:pt>
              </c:numCache>
            </c:numRef>
          </c:xVal>
          <c:yVal>
            <c:numRef>
              <c:f>'Steps 1.2-1.4'!$I$22:$I$31</c:f>
              <c:numCache>
                <c:formatCode>0.00E+00</c:formatCode>
                <c:ptCount val="10"/>
                <c:pt idx="0">
                  <c:v>4.3478663100000002E-3</c:v>
                </c:pt>
                <c:pt idx="1">
                  <c:v>4.3502007499999999E-3</c:v>
                </c:pt>
                <c:pt idx="2">
                  <c:v>4.3525352300000011E-3</c:v>
                </c:pt>
                <c:pt idx="3">
                  <c:v>4.3548697700000003E-3</c:v>
                </c:pt>
                <c:pt idx="4">
                  <c:v>4.3572043399999986E-3</c:v>
                </c:pt>
                <c:pt idx="5">
                  <c:v>4.3595389700000009E-3</c:v>
                </c:pt>
                <c:pt idx="6">
                  <c:v>4.3618730599999985E-3</c:v>
                </c:pt>
                <c:pt idx="7">
                  <c:v>4.3642079000000009E-3</c:v>
                </c:pt>
                <c:pt idx="8">
                  <c:v>4.3665419900000037E-3</c:v>
                </c:pt>
                <c:pt idx="9">
                  <c:v>4.3688768200000009E-3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D8-4968-AC70-9E9B91D18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004511"/>
        <c:axId val="1777005343"/>
      </c:scatterChart>
      <c:valAx>
        <c:axId val="177700451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5343"/>
        <c:crosses val="autoZero"/>
        <c:crossBetween val="midCat"/>
      </c:valAx>
      <c:valAx>
        <c:axId val="177700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4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VE = -5 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6024699889897394"/>
                  <c:y val="-0.113569758452441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1.2-1.4'!$E$2:$E$11</c:f>
              <c:numCache>
                <c:formatCode>0.000</c:formatCode>
                <c:ptCount val="10"/>
                <c:pt idx="0">
                  <c:v>4.9419471692057675</c:v>
                </c:pt>
                <c:pt idx="1">
                  <c:v>5.441647470650337</c:v>
                </c:pt>
                <c:pt idx="2">
                  <c:v>5.9413477720084433</c:v>
                </c:pt>
                <c:pt idx="3">
                  <c:v>6.4410480732761002</c:v>
                </c:pt>
                <c:pt idx="4">
                  <c:v>6.9407483744580798</c:v>
                </c:pt>
                <c:pt idx="5">
                  <c:v>7.4404486755478096</c:v>
                </c:pt>
                <c:pt idx="6">
                  <c:v>7.9401489765510398</c:v>
                </c:pt>
                <c:pt idx="7">
                  <c:v>8.4398492774660294</c:v>
                </c:pt>
                <c:pt idx="8">
                  <c:v>8.9395495782908494</c:v>
                </c:pt>
                <c:pt idx="9">
                  <c:v>9.4392498790272104</c:v>
                </c:pt>
              </c:numCache>
            </c:numRef>
          </c:xVal>
          <c:yVal>
            <c:numRef>
              <c:f>'Steps 1.2-1.4'!$I$2:$I$11</c:f>
              <c:numCache>
                <c:formatCode>0.00E+00</c:formatCode>
                <c:ptCount val="10"/>
                <c:pt idx="0">
                  <c:v>5.5805283079423292E-3</c:v>
                </c:pt>
                <c:pt idx="1">
                  <c:v>5.5835252934966296E-3</c:v>
                </c:pt>
                <c:pt idx="2">
                  <c:v>5.5865222799155699E-3</c:v>
                </c:pt>
                <c:pt idx="3">
                  <c:v>5.5895192672390003E-3</c:v>
                </c:pt>
                <c:pt idx="4">
                  <c:v>5.5925162554192002E-3</c:v>
                </c:pt>
                <c:pt idx="5">
                  <c:v>5.5955132445218991E-3</c:v>
                </c:pt>
                <c:pt idx="6">
                  <c:v>5.5985102344896023E-3</c:v>
                </c:pt>
                <c:pt idx="7">
                  <c:v>5.6015072253397013E-3</c:v>
                </c:pt>
                <c:pt idx="8">
                  <c:v>5.6045042170915016E-3</c:v>
                </c:pt>
                <c:pt idx="9">
                  <c:v>5.6075012097278965E-3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0E-4436-89B8-2CAB38174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8223"/>
        <c:axId val="1778969055"/>
      </c:scatterChart>
      <c:valAx>
        <c:axId val="1778968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VCE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9055"/>
        <c:crosses val="autoZero"/>
        <c:crossBetween val="midCat"/>
      </c:valAx>
      <c:valAx>
        <c:axId val="177896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8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VE</a:t>
            </a:r>
            <a:r>
              <a:rPr lang="en-CA" baseline="0"/>
              <a:t> = -4.5V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6908947414601689"/>
                  <c:y val="-0.100349100909379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1.2-1.4'!$E$12:$E$21</c:f>
              <c:numCache>
                <c:formatCode>0.000</c:formatCode>
                <c:ptCount val="10"/>
                <c:pt idx="0">
                  <c:v>4.5027908889999999</c:v>
                </c:pt>
                <c:pt idx="1">
                  <c:v>5.0025238850000004</c:v>
                </c:pt>
                <c:pt idx="2">
                  <c:v>5.50225688</c:v>
                </c:pt>
                <c:pt idx="3">
                  <c:v>6.0019898749999996</c:v>
                </c:pt>
                <c:pt idx="4">
                  <c:v>6.501722869</c:v>
                </c:pt>
                <c:pt idx="5">
                  <c:v>7.0014558620000003</c:v>
                </c:pt>
                <c:pt idx="6">
                  <c:v>7.5011888550000005</c:v>
                </c:pt>
                <c:pt idx="7">
                  <c:v>8.0009218470000008</c:v>
                </c:pt>
                <c:pt idx="8">
                  <c:v>8.5006548379999991</c:v>
                </c:pt>
                <c:pt idx="9">
                  <c:v>9.000387829000001</c:v>
                </c:pt>
              </c:numCache>
            </c:numRef>
          </c:xVal>
          <c:yVal>
            <c:numRef>
              <c:f>'Steps 1.2-1.4'!$I$12:$I$21</c:f>
              <c:numCache>
                <c:formatCode>0.00E+00</c:formatCode>
                <c:ptCount val="10"/>
                <c:pt idx="0">
                  <c:v>4.9720911100000001E-3</c:v>
                </c:pt>
                <c:pt idx="1">
                  <c:v>4.9747611499999997E-3</c:v>
                </c:pt>
                <c:pt idx="2">
                  <c:v>4.9774312000000001E-3</c:v>
                </c:pt>
                <c:pt idx="3">
                  <c:v>4.9801012499999997E-3</c:v>
                </c:pt>
                <c:pt idx="4">
                  <c:v>4.9827713100000001E-3</c:v>
                </c:pt>
                <c:pt idx="5">
                  <c:v>4.9854413800000021E-3</c:v>
                </c:pt>
                <c:pt idx="6">
                  <c:v>4.988111449999999E-3</c:v>
                </c:pt>
                <c:pt idx="7">
                  <c:v>4.990781530000001E-3</c:v>
                </c:pt>
                <c:pt idx="8">
                  <c:v>4.9934516200000004E-3</c:v>
                </c:pt>
                <c:pt idx="9">
                  <c:v>4.996121709999999E-3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B2-4D0A-93F2-E4842C700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2719"/>
        <c:axId val="1283846895"/>
      </c:scatterChart>
      <c:valAx>
        <c:axId val="1283852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VCE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6895"/>
        <c:crosses val="autoZero"/>
        <c:crossBetween val="midCat"/>
      </c:valAx>
      <c:valAx>
        <c:axId val="128384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2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VE = -4V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9084303866864017"/>
                  <c:y val="-0.108077217430672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1.2-1.4'!$E$22:$E$31</c:f>
              <c:numCache>
                <c:formatCode>0.000</c:formatCode>
                <c:ptCount val="10"/>
                <c:pt idx="0">
                  <c:v>4.0652133690000003</c:v>
                </c:pt>
                <c:pt idx="1">
                  <c:v>4.5649799250000003</c:v>
                </c:pt>
                <c:pt idx="2">
                  <c:v>5.0647464769999999</c:v>
                </c:pt>
                <c:pt idx="3">
                  <c:v>5.5645130229999999</c:v>
                </c:pt>
                <c:pt idx="4">
                  <c:v>6.0642795659999997</c:v>
                </c:pt>
                <c:pt idx="5">
                  <c:v>6.5640461029999999</c:v>
                </c:pt>
                <c:pt idx="6">
                  <c:v>7.0638126940000001</c:v>
                </c:pt>
                <c:pt idx="7">
                  <c:v>7.5635792100000003</c:v>
                </c:pt>
                <c:pt idx="8">
                  <c:v>8.0633458010000005</c:v>
                </c:pt>
                <c:pt idx="9">
                  <c:v>8.5631123179999999</c:v>
                </c:pt>
              </c:numCache>
            </c:numRef>
          </c:xVal>
          <c:yVal>
            <c:numRef>
              <c:f>'Steps 1.2-1.4'!$I$22:$I$31</c:f>
              <c:numCache>
                <c:formatCode>0.00E+00</c:formatCode>
                <c:ptCount val="10"/>
                <c:pt idx="0">
                  <c:v>4.3478663100000002E-3</c:v>
                </c:pt>
                <c:pt idx="1">
                  <c:v>4.3502007499999999E-3</c:v>
                </c:pt>
                <c:pt idx="2">
                  <c:v>4.3525352300000011E-3</c:v>
                </c:pt>
                <c:pt idx="3">
                  <c:v>4.3548697700000003E-3</c:v>
                </c:pt>
                <c:pt idx="4">
                  <c:v>4.3572043399999986E-3</c:v>
                </c:pt>
                <c:pt idx="5">
                  <c:v>4.3595389700000009E-3</c:v>
                </c:pt>
                <c:pt idx="6">
                  <c:v>4.3618730599999985E-3</c:v>
                </c:pt>
                <c:pt idx="7">
                  <c:v>4.3642079000000009E-3</c:v>
                </c:pt>
                <c:pt idx="8">
                  <c:v>4.3665419900000037E-3</c:v>
                </c:pt>
                <c:pt idx="9">
                  <c:v>4.3688768200000009E-3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C7-479A-8AEA-E9D169D81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46063"/>
        <c:axId val="1283856047"/>
      </c:scatterChart>
      <c:valAx>
        <c:axId val="128384606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6047"/>
        <c:crosses val="autoZero"/>
        <c:crossBetween val="midCat"/>
      </c:valAx>
      <c:valAx>
        <c:axId val="128385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VE = -3.5V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0031782070057281"/>
                  <c:y val="-0.128877602876480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1.2-1.4'!$E$32:$E$41</c:f>
              <c:numCache>
                <c:formatCode>0.000</c:formatCode>
                <c:ptCount val="10"/>
                <c:pt idx="0">
                  <c:v>3.6292534509999999</c:v>
                </c:pt>
                <c:pt idx="1">
                  <c:v>4.1290544589999998</c:v>
                </c:pt>
                <c:pt idx="2">
                  <c:v>4.6288554370000004</c:v>
                </c:pt>
                <c:pt idx="3">
                  <c:v>5.1286564449999998</c:v>
                </c:pt>
                <c:pt idx="4">
                  <c:v>5.6284574220000003</c:v>
                </c:pt>
                <c:pt idx="5">
                  <c:v>6.1282584299999998</c:v>
                </c:pt>
                <c:pt idx="6">
                  <c:v>6.6280594080000004</c:v>
                </c:pt>
                <c:pt idx="7">
                  <c:v>7.1278604159999999</c:v>
                </c:pt>
                <c:pt idx="8">
                  <c:v>7.6276613940000004</c:v>
                </c:pt>
                <c:pt idx="9">
                  <c:v>8.127462401999999</c:v>
                </c:pt>
              </c:numCache>
            </c:numRef>
          </c:xVal>
          <c:yVal>
            <c:numRef>
              <c:f>'Steps 1.2-1.4'!$I$32:$I$41</c:f>
              <c:numCache>
                <c:formatCode>0.00E+00</c:formatCode>
                <c:ptCount val="10"/>
                <c:pt idx="0">
                  <c:v>3.7074654900000003E-3</c:v>
                </c:pt>
                <c:pt idx="1">
                  <c:v>3.7094554100000001E-3</c:v>
                </c:pt>
                <c:pt idx="2">
                  <c:v>3.7114456300000008E-3</c:v>
                </c:pt>
                <c:pt idx="3">
                  <c:v>3.7134355499999993E-3</c:v>
                </c:pt>
                <c:pt idx="4">
                  <c:v>3.7154257800000013E-3</c:v>
                </c:pt>
                <c:pt idx="5">
                  <c:v>3.7174157000000019E-3</c:v>
                </c:pt>
                <c:pt idx="6">
                  <c:v>3.7194059200000005E-3</c:v>
                </c:pt>
                <c:pt idx="7">
                  <c:v>3.7213958400000012E-3</c:v>
                </c:pt>
                <c:pt idx="8">
                  <c:v>3.7233860599999958E-3</c:v>
                </c:pt>
                <c:pt idx="9">
                  <c:v>3.7253759800000008E-3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96-4560-BE84-E019E0B45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3135"/>
        <c:axId val="1283855631"/>
      </c:scatterChart>
      <c:valAx>
        <c:axId val="128385313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5631"/>
        <c:crosses val="autoZero"/>
        <c:crossBetween val="midCat"/>
      </c:valAx>
      <c:valAx>
        <c:axId val="128385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3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VE = -3V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2187364778658687"/>
                  <c:y val="-0.134268970518429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1.2-1.4'!$E$42:$E$51</c:f>
              <c:numCache>
                <c:formatCode>0.000</c:formatCode>
                <c:ptCount val="10"/>
                <c:pt idx="0">
                  <c:v>3.1948875339999998</c:v>
                </c:pt>
                <c:pt idx="1">
                  <c:v>3.69472383</c:v>
                </c:pt>
                <c:pt idx="2">
                  <c:v>4.1945601249999998</c:v>
                </c:pt>
                <c:pt idx="3">
                  <c:v>4.6943964210000004</c:v>
                </c:pt>
                <c:pt idx="4">
                  <c:v>5.1942327160000001</c:v>
                </c:pt>
                <c:pt idx="5">
                  <c:v>5.6940690119999999</c:v>
                </c:pt>
                <c:pt idx="6">
                  <c:v>6.1939053069999996</c:v>
                </c:pt>
                <c:pt idx="7">
                  <c:v>6.6937416029999994</c:v>
                </c:pt>
                <c:pt idx="8">
                  <c:v>7.193577898</c:v>
                </c:pt>
                <c:pt idx="9">
                  <c:v>7.6934141939999998</c:v>
                </c:pt>
              </c:numCache>
            </c:numRef>
          </c:xVal>
          <c:yVal>
            <c:numRef>
              <c:f>'Steps 1.2-1.4'!$I$42:$I$51</c:f>
              <c:numCache>
                <c:formatCode>0.00E+00</c:formatCode>
                <c:ptCount val="10"/>
                <c:pt idx="0">
                  <c:v>3.0511246599999996E-3</c:v>
                </c:pt>
                <c:pt idx="1">
                  <c:v>3.0527616999999996E-3</c:v>
                </c:pt>
                <c:pt idx="2">
                  <c:v>3.0543987500000003E-3</c:v>
                </c:pt>
                <c:pt idx="3">
                  <c:v>3.0560357900000002E-3</c:v>
                </c:pt>
                <c:pt idx="4">
                  <c:v>3.0576728399999988E-3</c:v>
                </c:pt>
                <c:pt idx="5">
                  <c:v>3.0593098800000009E-3</c:v>
                </c:pt>
                <c:pt idx="6">
                  <c:v>3.060946929999999E-3</c:v>
                </c:pt>
                <c:pt idx="7">
                  <c:v>3.0625839700000011E-3</c:v>
                </c:pt>
                <c:pt idx="8">
                  <c:v>3.0642210199999997E-3</c:v>
                </c:pt>
                <c:pt idx="9">
                  <c:v>3.0658580600000018E-3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DE-43F1-940D-7FE556E9B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53663"/>
        <c:axId val="1778956991"/>
      </c:scatterChart>
      <c:valAx>
        <c:axId val="177895366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6991"/>
        <c:crosses val="autoZero"/>
        <c:crossBetween val="midCat"/>
      </c:valAx>
      <c:valAx>
        <c:axId val="177895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3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VE = -2.5V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4273536140887034"/>
                  <c:y val="-0.109721519093924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1.2-1.4'!$E$52:$E$61</c:f>
              <c:numCache>
                <c:formatCode>0.000</c:formatCode>
                <c:ptCount val="10"/>
                <c:pt idx="0">
                  <c:v>2.761952865</c:v>
                </c:pt>
                <c:pt idx="1">
                  <c:v>3.2618252299999999</c:v>
                </c:pt>
                <c:pt idx="2">
                  <c:v>3.7616975960000003</c:v>
                </c:pt>
                <c:pt idx="3">
                  <c:v>4.2615699620000003</c:v>
                </c:pt>
                <c:pt idx="4">
                  <c:v>4.7614423279999993</c:v>
                </c:pt>
                <c:pt idx="5">
                  <c:v>5.2613146940000002</c:v>
                </c:pt>
                <c:pt idx="6">
                  <c:v>5.7611870590000001</c:v>
                </c:pt>
                <c:pt idx="7">
                  <c:v>6.261059425</c:v>
                </c:pt>
                <c:pt idx="8">
                  <c:v>6.760931791</c:v>
                </c:pt>
                <c:pt idx="9">
                  <c:v>7.2608041569999999</c:v>
                </c:pt>
              </c:numCache>
            </c:numRef>
          </c:xVal>
          <c:yVal>
            <c:numRef>
              <c:f>'Steps 1.2-1.4'!$I$52:$I$61</c:f>
              <c:numCache>
                <c:formatCode>0.00E+00</c:formatCode>
                <c:ptCount val="10"/>
                <c:pt idx="0">
                  <c:v>2.3804713500000002E-3</c:v>
                </c:pt>
                <c:pt idx="1">
                  <c:v>2.3817476999999998E-3</c:v>
                </c:pt>
                <c:pt idx="2">
                  <c:v>2.3830240399999991E-3</c:v>
                </c:pt>
                <c:pt idx="3">
                  <c:v>2.3843003799999996E-3</c:v>
                </c:pt>
                <c:pt idx="4">
                  <c:v>2.3855767200000023E-3</c:v>
                </c:pt>
                <c:pt idx="5">
                  <c:v>2.386853059999998E-3</c:v>
                </c:pt>
                <c:pt idx="6">
                  <c:v>2.3881294099999993E-3</c:v>
                </c:pt>
                <c:pt idx="7">
                  <c:v>2.3894057499999999E-3</c:v>
                </c:pt>
                <c:pt idx="8">
                  <c:v>2.3906820900000004E-3</c:v>
                </c:pt>
                <c:pt idx="9">
                  <c:v>2.3919584300000009E-3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38-4780-904A-E19627B64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4063"/>
        <c:axId val="1778954495"/>
      </c:scatterChart>
      <c:valAx>
        <c:axId val="177896406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4495"/>
        <c:crosses val="autoZero"/>
        <c:crossBetween val="midCat"/>
      </c:valAx>
      <c:valAx>
        <c:axId val="177895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4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VE = -2V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604680681700847"/>
                  <c:y val="-0.122748058811869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1.2-1.4'!$E$62:$E$71</c:f>
              <c:numCache>
                <c:formatCode>0.000</c:formatCode>
                <c:ptCount val="10"/>
                <c:pt idx="0">
                  <c:v>2.3299608850000002</c:v>
                </c:pt>
                <c:pt idx="1">
                  <c:v>2.8298698140000003</c:v>
                </c:pt>
                <c:pt idx="2">
                  <c:v>3.3297787420000002</c:v>
                </c:pt>
                <c:pt idx="3">
                  <c:v>3.8296876710000003</c:v>
                </c:pt>
                <c:pt idx="4">
                  <c:v>4.3295965990000003</c:v>
                </c:pt>
                <c:pt idx="5">
                  <c:v>4.8295055270000002</c:v>
                </c:pt>
                <c:pt idx="6">
                  <c:v>5.3294144560000003</c:v>
                </c:pt>
                <c:pt idx="7">
                  <c:v>5.8293233840000003</c:v>
                </c:pt>
                <c:pt idx="8">
                  <c:v>6.3292323130000003</c:v>
                </c:pt>
                <c:pt idx="9">
                  <c:v>6.8291412410000003</c:v>
                </c:pt>
              </c:numCache>
            </c:numRef>
          </c:xVal>
          <c:yVal>
            <c:numRef>
              <c:f>'Steps 1.2-1.4'!$I$62:$I$71</c:f>
              <c:numCache>
                <c:formatCode>0.00E+00</c:formatCode>
                <c:ptCount val="10"/>
                <c:pt idx="0">
                  <c:v>1.7003911500000001E-3</c:v>
                </c:pt>
                <c:pt idx="1">
                  <c:v>1.7013018599999997E-3</c:v>
                </c:pt>
                <c:pt idx="2">
                  <c:v>1.7022125799999999E-3</c:v>
                </c:pt>
                <c:pt idx="3">
                  <c:v>1.7031232899999992E-3</c:v>
                </c:pt>
                <c:pt idx="4">
                  <c:v>1.7040340100000018E-3</c:v>
                </c:pt>
                <c:pt idx="5">
                  <c:v>1.704944730000002E-3</c:v>
                </c:pt>
                <c:pt idx="6">
                  <c:v>1.7058554400000015E-3</c:v>
                </c:pt>
                <c:pt idx="7">
                  <c:v>1.7067661600000017E-3</c:v>
                </c:pt>
                <c:pt idx="8">
                  <c:v>1.7076768699999967E-3</c:v>
                </c:pt>
                <c:pt idx="9">
                  <c:v>1.7085875899999969E-3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25-460D-8374-415024CAA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004511"/>
        <c:axId val="1777005343"/>
      </c:scatterChart>
      <c:valAx>
        <c:axId val="177700451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5343"/>
        <c:crosses val="autoZero"/>
        <c:crossBetween val="midCat"/>
      </c:valAx>
      <c:valAx>
        <c:axId val="177700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4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VE = -1.5V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2243072595593362"/>
                  <c:y val="-0.121511302878861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1.2-1.4'!$E$72:$E$81</c:f>
              <c:numCache>
                <c:formatCode>0.000</c:formatCode>
                <c:ptCount val="10"/>
                <c:pt idx="0">
                  <c:v>1.8975582959999999</c:v>
                </c:pt>
                <c:pt idx="1">
                  <c:v>2.3975035299999998</c:v>
                </c:pt>
                <c:pt idx="2">
                  <c:v>2.897448764</c:v>
                </c:pt>
                <c:pt idx="3">
                  <c:v>3.3973939980000001</c:v>
                </c:pt>
                <c:pt idx="4">
                  <c:v>3.8973392320000002</c:v>
                </c:pt>
                <c:pt idx="5">
                  <c:v>4.3972844660000003</c:v>
                </c:pt>
                <c:pt idx="6">
                  <c:v>4.8972297000000005</c:v>
                </c:pt>
                <c:pt idx="7">
                  <c:v>5.3971749349999998</c:v>
                </c:pt>
                <c:pt idx="8">
                  <c:v>5.8971201689999999</c:v>
                </c:pt>
                <c:pt idx="9">
                  <c:v>6.397065403</c:v>
                </c:pt>
              </c:numCache>
            </c:numRef>
          </c:xVal>
          <c:yVal>
            <c:numRef>
              <c:f>'Steps 1.2-1.4'!$I$72:$I$81</c:f>
              <c:numCache>
                <c:formatCode>0.00E+00</c:formatCode>
                <c:ptCount val="10"/>
                <c:pt idx="0">
                  <c:v>1.0244170400000002E-3</c:v>
                </c:pt>
                <c:pt idx="1">
                  <c:v>1.0249646999999995E-3</c:v>
                </c:pt>
                <c:pt idx="2">
                  <c:v>1.0255123600000004E-3</c:v>
                </c:pt>
                <c:pt idx="3">
                  <c:v>1.0260600199999991E-3</c:v>
                </c:pt>
                <c:pt idx="4">
                  <c:v>1.0266076799999978E-3</c:v>
                </c:pt>
                <c:pt idx="5">
                  <c:v>1.0271553400000011E-3</c:v>
                </c:pt>
                <c:pt idx="6">
                  <c:v>1.0277029999999998E-3</c:v>
                </c:pt>
                <c:pt idx="7">
                  <c:v>1.0282506500000023E-3</c:v>
                </c:pt>
                <c:pt idx="8">
                  <c:v>1.028798310000001E-3</c:v>
                </c:pt>
                <c:pt idx="9">
                  <c:v>1.0293459699999997E-3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6F-4976-8888-7B211CEE2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6463"/>
        <c:axId val="1283841903"/>
      </c:scatterChart>
      <c:valAx>
        <c:axId val="128385646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1903"/>
        <c:crosses val="autoZero"/>
        <c:crossBetween val="midCat"/>
      </c:valAx>
      <c:valAx>
        <c:axId val="128384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6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VE = -1V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4056973025160279"/>
                  <c:y val="-0.108077217430672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1.2-1.4'!$E$82:$E$91</c:f>
              <c:numCache>
                <c:formatCode>0.000</c:formatCode>
                <c:ptCount val="10"/>
                <c:pt idx="0">
                  <c:v>1.460429886</c:v>
                </c:pt>
                <c:pt idx="1">
                  <c:v>1.9604088119999998</c:v>
                </c:pt>
                <c:pt idx="2">
                  <c:v>2.4603877380000001</c:v>
                </c:pt>
                <c:pt idx="3">
                  <c:v>2.9603666639999999</c:v>
                </c:pt>
                <c:pt idx="4">
                  <c:v>3.4603455900000002</c:v>
                </c:pt>
                <c:pt idx="5">
                  <c:v>3.9603245170000001</c:v>
                </c:pt>
                <c:pt idx="6">
                  <c:v>4.4603034429999999</c:v>
                </c:pt>
                <c:pt idx="7">
                  <c:v>4.9602823689999997</c:v>
                </c:pt>
                <c:pt idx="8">
                  <c:v>5.4602612949999996</c:v>
                </c:pt>
                <c:pt idx="9">
                  <c:v>5.9602402210000003</c:v>
                </c:pt>
              </c:numCache>
            </c:numRef>
          </c:xVal>
          <c:yVal>
            <c:numRef>
              <c:f>'Steps 1.2-1.4'!$I$82:$I$91</c:f>
              <c:numCache>
                <c:formatCode>0.00E+00</c:formatCode>
                <c:ptCount val="10"/>
                <c:pt idx="0">
                  <c:v>3.9570113999999991E-4</c:v>
                </c:pt>
                <c:pt idx="1">
                  <c:v>3.9591188000000053E-4</c:v>
                </c:pt>
                <c:pt idx="2">
                  <c:v>3.9612261999999899E-4</c:v>
                </c:pt>
                <c:pt idx="3">
                  <c:v>3.9633336000000075E-4</c:v>
                </c:pt>
                <c:pt idx="4">
                  <c:v>3.9654409999999806E-4</c:v>
                </c:pt>
                <c:pt idx="5">
                  <c:v>3.9675482999999899E-4</c:v>
                </c:pt>
                <c:pt idx="6">
                  <c:v>3.9696557000000075E-4</c:v>
                </c:pt>
                <c:pt idx="7">
                  <c:v>3.9717630999999806E-4</c:v>
                </c:pt>
                <c:pt idx="8">
                  <c:v>3.9738705000000427E-4</c:v>
                </c:pt>
                <c:pt idx="9">
                  <c:v>3.9759778999999719E-4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F2-4D2B-86A2-806AB73D3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3551"/>
        <c:axId val="1283843151"/>
      </c:scatterChart>
      <c:valAx>
        <c:axId val="128385355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3151"/>
        <c:crosses val="autoZero"/>
        <c:crossBetween val="midCat"/>
      </c:valAx>
      <c:valAx>
        <c:axId val="128384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3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VE = -5 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5996967517464817"/>
                  <c:y val="-0.122126549818518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1.8'!$E$2:$E$11</c:f>
              <c:numCache>
                <c:formatCode>General</c:formatCode>
                <c:ptCount val="10"/>
                <c:pt idx="0">
                  <c:v>4.1112599999999997</c:v>
                </c:pt>
                <c:pt idx="1">
                  <c:v>4.5953400000000011</c:v>
                </c:pt>
                <c:pt idx="2">
                  <c:v>5.0784599999999998</c:v>
                </c:pt>
                <c:pt idx="3">
                  <c:v>5.5735400000000004</c:v>
                </c:pt>
                <c:pt idx="4">
                  <c:v>6.0674200000000003</c:v>
                </c:pt>
                <c:pt idx="5">
                  <c:v>6.5628000000000002</c:v>
                </c:pt>
                <c:pt idx="6">
                  <c:v>7.0556999999999999</c:v>
                </c:pt>
                <c:pt idx="7">
                  <c:v>7.5495599999999996</c:v>
                </c:pt>
                <c:pt idx="8">
                  <c:v>8.0450400000000002</c:v>
                </c:pt>
                <c:pt idx="9">
                  <c:v>8.5389800000000005</c:v>
                </c:pt>
              </c:numCache>
            </c:numRef>
          </c:xVal>
          <c:yVal>
            <c:numRef>
              <c:f>'Step 1.8'!$I$2:$I$11</c:f>
              <c:numCache>
                <c:formatCode>0.00E+00</c:formatCode>
                <c:ptCount val="10"/>
                <c:pt idx="0">
                  <c:v>1.3887399999999999E-2</c:v>
                </c:pt>
                <c:pt idx="1">
                  <c:v>1.4046599999999989E-2</c:v>
                </c:pt>
                <c:pt idx="2">
                  <c:v>1.42154E-2</c:v>
                </c:pt>
                <c:pt idx="3">
                  <c:v>1.4264600000000001E-2</c:v>
                </c:pt>
                <c:pt idx="4">
                  <c:v>1.43258E-2</c:v>
                </c:pt>
                <c:pt idx="5">
                  <c:v>1.4372000000000001E-2</c:v>
                </c:pt>
                <c:pt idx="6">
                  <c:v>1.4443000000000001E-2</c:v>
                </c:pt>
                <c:pt idx="7">
                  <c:v>1.4504399999999999E-2</c:v>
                </c:pt>
                <c:pt idx="8">
                  <c:v>1.4549599999999998E-2</c:v>
                </c:pt>
                <c:pt idx="9">
                  <c:v>1.46102E-2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71-49B9-A8BC-22FCF9402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8223"/>
        <c:axId val="1778969055"/>
      </c:scatterChart>
      <c:valAx>
        <c:axId val="1778968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VCE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9055"/>
        <c:crosses val="autoZero"/>
        <c:crossBetween val="midCat"/>
      </c:valAx>
      <c:valAx>
        <c:axId val="177896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8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VE = -3.5V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0031782070057281"/>
                  <c:y val="-0.128877602876480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1.8'!$E$12:$E$21</c:f>
              <c:numCache>
                <c:formatCode>General</c:formatCode>
                <c:ptCount val="10"/>
                <c:pt idx="0">
                  <c:v>3.7622599999999999</c:v>
                </c:pt>
                <c:pt idx="1">
                  <c:v>4.2598599999999998</c:v>
                </c:pt>
                <c:pt idx="2">
                  <c:v>4.7489400000000002</c:v>
                </c:pt>
                <c:pt idx="3">
                  <c:v>5.2447600000000003</c:v>
                </c:pt>
                <c:pt idx="4">
                  <c:v>5.7409800000000004</c:v>
                </c:pt>
                <c:pt idx="5">
                  <c:v>6.2382600000000004</c:v>
                </c:pt>
                <c:pt idx="6">
                  <c:v>6.73332</c:v>
                </c:pt>
                <c:pt idx="7">
                  <c:v>7.2280199999999999</c:v>
                </c:pt>
                <c:pt idx="8">
                  <c:v>7.7231199999999998</c:v>
                </c:pt>
                <c:pt idx="9">
                  <c:v>8.2190199999999898</c:v>
                </c:pt>
              </c:numCache>
            </c:numRef>
          </c:xVal>
          <c:yVal>
            <c:numRef>
              <c:f>'Step 1.8'!$I$12:$I$21</c:f>
              <c:numCache>
                <c:formatCode>0.00E+00</c:formatCode>
                <c:ptCount val="10"/>
                <c:pt idx="0">
                  <c:v>1.23774E-2</c:v>
                </c:pt>
                <c:pt idx="1">
                  <c:v>1.24014E-2</c:v>
                </c:pt>
                <c:pt idx="2">
                  <c:v>1.25106E-2</c:v>
                </c:pt>
                <c:pt idx="3">
                  <c:v>1.2552400000000002E-2</c:v>
                </c:pt>
                <c:pt idx="4">
                  <c:v>1.2590200000000001E-2</c:v>
                </c:pt>
                <c:pt idx="5">
                  <c:v>1.2617400000000001E-2</c:v>
                </c:pt>
                <c:pt idx="6">
                  <c:v>1.2666800000000001E-2</c:v>
                </c:pt>
                <c:pt idx="7">
                  <c:v>1.2719800000000002E-2</c:v>
                </c:pt>
                <c:pt idx="8">
                  <c:v>1.2768799999999999E-2</c:v>
                </c:pt>
                <c:pt idx="9">
                  <c:v>1.2809800000000102E-2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69-4B25-857B-98E277CEC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3135"/>
        <c:axId val="1283855631"/>
      </c:scatterChart>
      <c:valAx>
        <c:axId val="128385313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5631"/>
        <c:crosses val="autoZero"/>
        <c:crossBetween val="midCat"/>
      </c:valAx>
      <c:valAx>
        <c:axId val="128385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3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-2.5V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4273536140887034"/>
                  <c:y val="-0.109721519093924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strRef>
              <c:f>'[2]Step 1'!#REF!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'[2]Step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33-46F3-B74D-9972899D3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4063"/>
        <c:axId val="1778954495"/>
      </c:scatterChart>
      <c:valAx>
        <c:axId val="177896406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4495"/>
        <c:crosses val="autoZero"/>
        <c:crossBetween val="midCat"/>
      </c:valAx>
      <c:valAx>
        <c:axId val="177895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4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VE = -2V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604680681700847"/>
                  <c:y val="-0.122748058811869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1.8'!$E$22:$E$31</c:f>
              <c:numCache>
                <c:formatCode>General</c:formatCode>
                <c:ptCount val="10"/>
                <c:pt idx="0">
                  <c:v>3.4561199999999999</c:v>
                </c:pt>
                <c:pt idx="1">
                  <c:v>3.9441999999999999</c:v>
                </c:pt>
                <c:pt idx="2">
                  <c:v>4.4302599999999996</c:v>
                </c:pt>
                <c:pt idx="3">
                  <c:v>4.9325999999999999</c:v>
                </c:pt>
                <c:pt idx="4">
                  <c:v>5.4286399999999997</c:v>
                </c:pt>
                <c:pt idx="5">
                  <c:v>5.9237599999999997</c:v>
                </c:pt>
                <c:pt idx="6">
                  <c:v>6.42105999999999</c:v>
                </c:pt>
                <c:pt idx="7">
                  <c:v>6.9175599999999999</c:v>
                </c:pt>
                <c:pt idx="8">
                  <c:v>7.4135</c:v>
                </c:pt>
                <c:pt idx="9">
                  <c:v>7.9049799999999895</c:v>
                </c:pt>
              </c:numCache>
            </c:numRef>
          </c:xVal>
          <c:yVal>
            <c:numRef>
              <c:f>'Step 1.8'!$I$22:$I$31</c:f>
              <c:numCache>
                <c:formatCode>0.00E+00</c:formatCode>
                <c:ptCount val="10"/>
                <c:pt idx="0">
                  <c:v>1.0438800000000002E-2</c:v>
                </c:pt>
                <c:pt idx="1">
                  <c:v>1.0558000000000001E-2</c:v>
                </c:pt>
                <c:pt idx="2">
                  <c:v>1.0697399999999999E-2</c:v>
                </c:pt>
                <c:pt idx="3">
                  <c:v>1.0674000000000001E-2</c:v>
                </c:pt>
                <c:pt idx="4">
                  <c:v>1.07136E-2</c:v>
                </c:pt>
                <c:pt idx="5">
                  <c:v>1.07624E-2</c:v>
                </c:pt>
                <c:pt idx="6">
                  <c:v>1.07894000000001E-2</c:v>
                </c:pt>
                <c:pt idx="7">
                  <c:v>1.0824400000000001E-2</c:v>
                </c:pt>
                <c:pt idx="8">
                  <c:v>1.0865E-2</c:v>
                </c:pt>
                <c:pt idx="9">
                  <c:v>1.0950200000000101E-2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DA-4D42-AC57-24C3EC051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004511"/>
        <c:axId val="1777005343"/>
      </c:scatterChart>
      <c:valAx>
        <c:axId val="177700451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5343"/>
        <c:crosses val="autoZero"/>
        <c:crossBetween val="midCat"/>
      </c:valAx>
      <c:valAx>
        <c:axId val="177700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4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-5 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5996967517464817"/>
                  <c:y val="-0.122126549818518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1.8'!$E$2:$E$11</c:f>
              <c:numCache>
                <c:formatCode>General</c:formatCode>
                <c:ptCount val="10"/>
                <c:pt idx="0">
                  <c:v>4.1112599999999997</c:v>
                </c:pt>
                <c:pt idx="1">
                  <c:v>4.5953400000000011</c:v>
                </c:pt>
                <c:pt idx="2">
                  <c:v>5.0784599999999998</c:v>
                </c:pt>
                <c:pt idx="3">
                  <c:v>5.5735400000000004</c:v>
                </c:pt>
                <c:pt idx="4">
                  <c:v>6.0674200000000003</c:v>
                </c:pt>
                <c:pt idx="5">
                  <c:v>6.5628000000000002</c:v>
                </c:pt>
                <c:pt idx="6">
                  <c:v>7.0556999999999999</c:v>
                </c:pt>
                <c:pt idx="7">
                  <c:v>7.5495599999999996</c:v>
                </c:pt>
                <c:pt idx="8">
                  <c:v>8.0450400000000002</c:v>
                </c:pt>
                <c:pt idx="9">
                  <c:v>8.5389800000000005</c:v>
                </c:pt>
              </c:numCache>
            </c:numRef>
          </c:xVal>
          <c:yVal>
            <c:numRef>
              <c:f>'Step 1.8'!$I$2:$I$11</c:f>
              <c:numCache>
                <c:formatCode>0.00E+00</c:formatCode>
                <c:ptCount val="10"/>
                <c:pt idx="0">
                  <c:v>1.3887399999999999E-2</c:v>
                </c:pt>
                <c:pt idx="1">
                  <c:v>1.4046599999999989E-2</c:v>
                </c:pt>
                <c:pt idx="2">
                  <c:v>1.42154E-2</c:v>
                </c:pt>
                <c:pt idx="3">
                  <c:v>1.4264600000000001E-2</c:v>
                </c:pt>
                <c:pt idx="4">
                  <c:v>1.43258E-2</c:v>
                </c:pt>
                <c:pt idx="5">
                  <c:v>1.4372000000000001E-2</c:v>
                </c:pt>
                <c:pt idx="6">
                  <c:v>1.4443000000000001E-2</c:v>
                </c:pt>
                <c:pt idx="7">
                  <c:v>1.4504399999999999E-2</c:v>
                </c:pt>
                <c:pt idx="8">
                  <c:v>1.4549599999999998E-2</c:v>
                </c:pt>
                <c:pt idx="9">
                  <c:v>1.46102E-2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F4-42F5-9FDC-60B9C7A34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8223"/>
        <c:axId val="1778969055"/>
      </c:scatterChart>
      <c:valAx>
        <c:axId val="1778968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VCE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9055"/>
        <c:crosses val="autoZero"/>
        <c:crossBetween val="midCat"/>
      </c:valAx>
      <c:valAx>
        <c:axId val="177896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8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</a:t>
            </a:r>
            <a:r>
              <a:rPr lang="en-CA" baseline="0"/>
              <a:t> = -4.5V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5821658872222895"/>
                  <c:y val="-0.106999140731075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1.8'!$E$12:$E$21</c:f>
              <c:numCache>
                <c:formatCode>General</c:formatCode>
                <c:ptCount val="10"/>
                <c:pt idx="0">
                  <c:v>3.7622599999999999</c:v>
                </c:pt>
                <c:pt idx="1">
                  <c:v>4.2598599999999998</c:v>
                </c:pt>
                <c:pt idx="2">
                  <c:v>4.7489400000000002</c:v>
                </c:pt>
                <c:pt idx="3">
                  <c:v>5.2447600000000003</c:v>
                </c:pt>
                <c:pt idx="4">
                  <c:v>5.7409800000000004</c:v>
                </c:pt>
                <c:pt idx="5">
                  <c:v>6.2382600000000004</c:v>
                </c:pt>
                <c:pt idx="6">
                  <c:v>6.73332</c:v>
                </c:pt>
                <c:pt idx="7">
                  <c:v>7.2280199999999999</c:v>
                </c:pt>
                <c:pt idx="8">
                  <c:v>7.7231199999999998</c:v>
                </c:pt>
                <c:pt idx="9">
                  <c:v>8.2190199999999898</c:v>
                </c:pt>
              </c:numCache>
            </c:numRef>
          </c:xVal>
          <c:yVal>
            <c:numRef>
              <c:f>'Step 1.8'!$I$12:$I$21</c:f>
              <c:numCache>
                <c:formatCode>0.00E+00</c:formatCode>
                <c:ptCount val="10"/>
                <c:pt idx="0">
                  <c:v>1.23774E-2</c:v>
                </c:pt>
                <c:pt idx="1">
                  <c:v>1.24014E-2</c:v>
                </c:pt>
                <c:pt idx="2">
                  <c:v>1.25106E-2</c:v>
                </c:pt>
                <c:pt idx="3">
                  <c:v>1.2552400000000002E-2</c:v>
                </c:pt>
                <c:pt idx="4">
                  <c:v>1.2590200000000001E-2</c:v>
                </c:pt>
                <c:pt idx="5">
                  <c:v>1.2617400000000001E-2</c:v>
                </c:pt>
                <c:pt idx="6">
                  <c:v>1.2666800000000001E-2</c:v>
                </c:pt>
                <c:pt idx="7">
                  <c:v>1.2719800000000002E-2</c:v>
                </c:pt>
                <c:pt idx="8">
                  <c:v>1.2768799999999999E-2</c:v>
                </c:pt>
                <c:pt idx="9">
                  <c:v>1.2809800000000102E-2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4F-4505-940C-9AFD10D23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2719"/>
        <c:axId val="1283846895"/>
      </c:scatterChart>
      <c:valAx>
        <c:axId val="1283852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VCE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6895"/>
        <c:crosses val="autoZero"/>
        <c:crossBetween val="midCat"/>
      </c:valAx>
      <c:valAx>
        <c:axId val="128384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2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-4V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8787016647850181"/>
                  <c:y val="-0.128228345602955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1.8'!$E$22:$E$31</c:f>
              <c:numCache>
                <c:formatCode>General</c:formatCode>
                <c:ptCount val="10"/>
                <c:pt idx="0">
                  <c:v>3.4561199999999999</c:v>
                </c:pt>
                <c:pt idx="1">
                  <c:v>3.9441999999999999</c:v>
                </c:pt>
                <c:pt idx="2">
                  <c:v>4.4302599999999996</c:v>
                </c:pt>
                <c:pt idx="3">
                  <c:v>4.9325999999999999</c:v>
                </c:pt>
                <c:pt idx="4">
                  <c:v>5.4286399999999997</c:v>
                </c:pt>
                <c:pt idx="5">
                  <c:v>5.9237599999999997</c:v>
                </c:pt>
                <c:pt idx="6">
                  <c:v>6.42105999999999</c:v>
                </c:pt>
                <c:pt idx="7">
                  <c:v>6.9175599999999999</c:v>
                </c:pt>
                <c:pt idx="8">
                  <c:v>7.4135</c:v>
                </c:pt>
                <c:pt idx="9">
                  <c:v>7.9049799999999895</c:v>
                </c:pt>
              </c:numCache>
            </c:numRef>
          </c:xVal>
          <c:yVal>
            <c:numRef>
              <c:f>'Step 1.8'!$I$22:$I$31</c:f>
              <c:numCache>
                <c:formatCode>0.00E+00</c:formatCode>
                <c:ptCount val="10"/>
                <c:pt idx="0">
                  <c:v>1.0438800000000002E-2</c:v>
                </c:pt>
                <c:pt idx="1">
                  <c:v>1.0558000000000001E-2</c:v>
                </c:pt>
                <c:pt idx="2">
                  <c:v>1.0697399999999999E-2</c:v>
                </c:pt>
                <c:pt idx="3">
                  <c:v>1.0674000000000001E-2</c:v>
                </c:pt>
                <c:pt idx="4">
                  <c:v>1.07136E-2</c:v>
                </c:pt>
                <c:pt idx="5">
                  <c:v>1.07624E-2</c:v>
                </c:pt>
                <c:pt idx="6">
                  <c:v>1.07894000000001E-2</c:v>
                </c:pt>
                <c:pt idx="7">
                  <c:v>1.0824400000000001E-2</c:v>
                </c:pt>
                <c:pt idx="8">
                  <c:v>1.0865E-2</c:v>
                </c:pt>
                <c:pt idx="9">
                  <c:v>1.0950200000000101E-2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4A-4512-B209-AED428733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46063"/>
        <c:axId val="1283856047"/>
      </c:scatterChart>
      <c:valAx>
        <c:axId val="128384606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6047"/>
        <c:crosses val="autoZero"/>
        <c:crossBetween val="midCat"/>
      </c:valAx>
      <c:valAx>
        <c:axId val="128385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-3.5V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0031782070057281"/>
                  <c:y val="-0.128877602876480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1.8'!$E$32:$E$41</c:f>
              <c:numCache>
                <c:formatCode>General</c:formatCode>
                <c:ptCount val="10"/>
                <c:pt idx="1">
                  <c:v>3.6045400000000001</c:v>
                </c:pt>
                <c:pt idx="2">
                  <c:v>4.1033200000000001</c:v>
                </c:pt>
                <c:pt idx="3">
                  <c:v>4.5983999999999998</c:v>
                </c:pt>
                <c:pt idx="4">
                  <c:v>5.09626</c:v>
                </c:pt>
                <c:pt idx="5">
                  <c:v>5.5924200000000006</c:v>
                </c:pt>
                <c:pt idx="6">
                  <c:v>6.0908600000000002</c:v>
                </c:pt>
                <c:pt idx="7">
                  <c:v>6.5863999999999994</c:v>
                </c:pt>
                <c:pt idx="8">
                  <c:v>7.0822199999999995</c:v>
                </c:pt>
                <c:pt idx="9">
                  <c:v>7.5762999999999998</c:v>
                </c:pt>
              </c:numCache>
            </c:numRef>
          </c:xVal>
          <c:yVal>
            <c:numRef>
              <c:f>'Step 1.8'!$I$32:$I$41</c:f>
              <c:numCache>
                <c:formatCode>0.00E+00</c:formatCode>
                <c:ptCount val="10"/>
                <c:pt idx="0">
                  <c:v>8.8104000000000012E-3</c:v>
                </c:pt>
                <c:pt idx="1">
                  <c:v>8.9546000000000001E-3</c:v>
                </c:pt>
                <c:pt idx="2">
                  <c:v>8.9668000000000005E-3</c:v>
                </c:pt>
                <c:pt idx="3">
                  <c:v>9.0159999999999997E-3</c:v>
                </c:pt>
                <c:pt idx="4">
                  <c:v>9.0373999999999993E-3</c:v>
                </c:pt>
                <c:pt idx="5">
                  <c:v>9.0757999999999985E-3</c:v>
                </c:pt>
                <c:pt idx="6">
                  <c:v>9.0913999999999977E-3</c:v>
                </c:pt>
                <c:pt idx="7">
                  <c:v>9.1360000000000018E-3</c:v>
                </c:pt>
                <c:pt idx="8">
                  <c:v>9.1777999999999998E-3</c:v>
                </c:pt>
                <c:pt idx="9">
                  <c:v>9.2370000000000022E-3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63-4BA5-A02C-CE6549FC9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3135"/>
        <c:axId val="1283855631"/>
      </c:scatterChart>
      <c:valAx>
        <c:axId val="128385313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5631"/>
        <c:crosses val="autoZero"/>
        <c:crossBetween val="midCat"/>
      </c:valAx>
      <c:valAx>
        <c:axId val="128385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3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-3V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3195106428838744"/>
                  <c:y val="-0.167685837247755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1.8'!$E$42:$E$51</c:f>
              <c:numCache>
                <c:formatCode>General</c:formatCode>
                <c:ptCount val="10"/>
                <c:pt idx="0">
                  <c:v>2.7873000000000001</c:v>
                </c:pt>
                <c:pt idx="1">
                  <c:v>3.2762000000000002</c:v>
                </c:pt>
                <c:pt idx="2">
                  <c:v>3.7723599999999999</c:v>
                </c:pt>
                <c:pt idx="3">
                  <c:v>4.2684999999999995</c:v>
                </c:pt>
                <c:pt idx="4">
                  <c:v>4.7674599999999998</c:v>
                </c:pt>
                <c:pt idx="5">
                  <c:v>5.2643399999999998</c:v>
                </c:pt>
                <c:pt idx="6">
                  <c:v>5.7609200000000005</c:v>
                </c:pt>
                <c:pt idx="7">
                  <c:v>6.2585800000000003</c:v>
                </c:pt>
                <c:pt idx="8">
                  <c:v>6.7565400000000002</c:v>
                </c:pt>
                <c:pt idx="9">
                  <c:v>7.2522599999999997</c:v>
                </c:pt>
              </c:numCache>
            </c:numRef>
          </c:xVal>
          <c:yVal>
            <c:numRef>
              <c:f>'Step 1.8'!$I$42:$I$51</c:f>
              <c:numCache>
                <c:formatCode>0.00E+00</c:formatCode>
                <c:ptCount val="10"/>
                <c:pt idx="0">
                  <c:v>7.1269999999999997E-3</c:v>
                </c:pt>
                <c:pt idx="1">
                  <c:v>7.2379999999999996E-3</c:v>
                </c:pt>
                <c:pt idx="2">
                  <c:v>7.2763999999999997E-3</c:v>
                </c:pt>
                <c:pt idx="3">
                  <c:v>7.3150000000000003E-3</c:v>
                </c:pt>
                <c:pt idx="4">
                  <c:v>7.3253999999999993E-3</c:v>
                </c:pt>
                <c:pt idx="5">
                  <c:v>7.3566000000000022E-3</c:v>
                </c:pt>
                <c:pt idx="6">
                  <c:v>7.3907999999999995E-3</c:v>
                </c:pt>
                <c:pt idx="7">
                  <c:v>7.4142000000000019E-3</c:v>
                </c:pt>
                <c:pt idx="8">
                  <c:v>7.4345999999999978E-3</c:v>
                </c:pt>
                <c:pt idx="9">
                  <c:v>7.477400000000003E-3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5D-4D34-9F5B-A8D5FD104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53663"/>
        <c:axId val="1778956991"/>
      </c:scatterChart>
      <c:valAx>
        <c:axId val="177895366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6991"/>
        <c:crosses val="autoZero"/>
        <c:crossBetween val="midCat"/>
      </c:valAx>
      <c:valAx>
        <c:axId val="177895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3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-2.5V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4273536140887034"/>
                  <c:y val="-0.109721519093924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1.8'!$E$52:$E$61</c:f>
              <c:numCache>
                <c:formatCode>General</c:formatCode>
                <c:ptCount val="10"/>
                <c:pt idx="0">
                  <c:v>2.5178599999999998</c:v>
                </c:pt>
                <c:pt idx="1">
                  <c:v>2.9453800000000001</c:v>
                </c:pt>
                <c:pt idx="2">
                  <c:v>3.4472800000000001</c:v>
                </c:pt>
                <c:pt idx="3">
                  <c:v>3.9436200000000001</c:v>
                </c:pt>
                <c:pt idx="4">
                  <c:v>4.4409999999999998</c:v>
                </c:pt>
                <c:pt idx="5">
                  <c:v>4.9396199999999997</c:v>
                </c:pt>
                <c:pt idx="6">
                  <c:v>5.4359599999999997</c:v>
                </c:pt>
                <c:pt idx="7">
                  <c:v>5.9319000000000006</c:v>
                </c:pt>
                <c:pt idx="8">
                  <c:v>6.4253400000000003</c:v>
                </c:pt>
                <c:pt idx="9">
                  <c:v>6.9250600000000002</c:v>
                </c:pt>
              </c:numCache>
            </c:numRef>
          </c:xVal>
          <c:yVal>
            <c:numRef>
              <c:f>'Step 1.8'!$I$52:$I$61</c:f>
              <c:numCache>
                <c:formatCode>0.00E+00</c:formatCode>
                <c:ptCount val="10"/>
                <c:pt idx="0">
                  <c:v>4.8214000000000009E-3</c:v>
                </c:pt>
                <c:pt idx="1">
                  <c:v>5.5462000000000003E-3</c:v>
                </c:pt>
                <c:pt idx="2">
                  <c:v>5.5271999999999995E-3</c:v>
                </c:pt>
                <c:pt idx="3">
                  <c:v>5.5638000000000007E-3</c:v>
                </c:pt>
                <c:pt idx="4">
                  <c:v>5.5899999999999995E-3</c:v>
                </c:pt>
                <c:pt idx="5">
                  <c:v>5.6037999999999991E-3</c:v>
                </c:pt>
                <c:pt idx="6">
                  <c:v>5.6403999999999985E-3</c:v>
                </c:pt>
                <c:pt idx="7">
                  <c:v>5.6809999999999986E-3</c:v>
                </c:pt>
                <c:pt idx="8">
                  <c:v>5.7466000000000019E-3</c:v>
                </c:pt>
                <c:pt idx="9">
                  <c:v>5.7493999999999983E-3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AD-4AC7-89EA-9C3B53C64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4063"/>
        <c:axId val="1778954495"/>
      </c:scatterChart>
      <c:valAx>
        <c:axId val="177896406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4495"/>
        <c:crosses val="autoZero"/>
        <c:crossBetween val="midCat"/>
      </c:valAx>
      <c:valAx>
        <c:axId val="177895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4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-2V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604680681700847"/>
                  <c:y val="-0.122748058811869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1.8'!$E$62:$E$71</c:f>
              <c:numCache>
                <c:formatCode>General</c:formatCode>
                <c:ptCount val="10"/>
                <c:pt idx="1">
                  <c:v>2.6115200000000001</c:v>
                </c:pt>
                <c:pt idx="2">
                  <c:v>3.1068799999999901</c:v>
                </c:pt>
                <c:pt idx="3">
                  <c:v>3.6054200000000001</c:v>
                </c:pt>
                <c:pt idx="4">
                  <c:v>4.1040600000000005</c:v>
                </c:pt>
                <c:pt idx="5">
                  <c:v>4.6022400000000001</c:v>
                </c:pt>
                <c:pt idx="6">
                  <c:v>5.0999400000000001</c:v>
                </c:pt>
                <c:pt idx="7">
                  <c:v>5.5944799999999999</c:v>
                </c:pt>
                <c:pt idx="8">
                  <c:v>6.0906599999999997</c:v>
                </c:pt>
                <c:pt idx="9">
                  <c:v>6.5881999999999996</c:v>
                </c:pt>
              </c:numCache>
            </c:numRef>
          </c:xVal>
          <c:yVal>
            <c:numRef>
              <c:f>'Step 1.8'!$I$62:$I$71</c:f>
              <c:numCache>
                <c:formatCode>0.00E+00</c:formatCode>
                <c:ptCount val="10"/>
                <c:pt idx="0">
                  <c:v>3.8647999999999998E-3</c:v>
                </c:pt>
                <c:pt idx="1">
                  <c:v>3.8848000000000003E-3</c:v>
                </c:pt>
                <c:pt idx="2">
                  <c:v>3.931200000000099E-3</c:v>
                </c:pt>
                <c:pt idx="3">
                  <c:v>3.9457999999999993E-3</c:v>
                </c:pt>
                <c:pt idx="4">
                  <c:v>3.9593999999999992E-3</c:v>
                </c:pt>
                <c:pt idx="5">
                  <c:v>3.9775999999999987E-3</c:v>
                </c:pt>
                <c:pt idx="6">
                  <c:v>4.0005999999999983E-3</c:v>
                </c:pt>
                <c:pt idx="7">
                  <c:v>4.055200000000001E-3</c:v>
                </c:pt>
                <c:pt idx="8">
                  <c:v>4.0934000000000022E-3</c:v>
                </c:pt>
                <c:pt idx="9">
                  <c:v>4.1180000000000036E-3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31-473F-9A8A-4AA91EDE2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004511"/>
        <c:axId val="1777005343"/>
      </c:scatterChart>
      <c:valAx>
        <c:axId val="177700451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5343"/>
        <c:crosses val="autoZero"/>
        <c:crossBetween val="midCat"/>
      </c:valAx>
      <c:valAx>
        <c:axId val="177700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4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-1.5V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8084054988716853"/>
                  <c:y val="-0.296981063238455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1.8'!$E$72:$E$81</c:f>
              <c:numCache>
                <c:formatCode>General</c:formatCode>
                <c:ptCount val="10"/>
                <c:pt idx="1">
                  <c:v>2.2676799999999999</c:v>
                </c:pt>
                <c:pt idx="2">
                  <c:v>2.7642600000000002</c:v>
                </c:pt>
                <c:pt idx="3">
                  <c:v>3.2645400000000002</c:v>
                </c:pt>
                <c:pt idx="4">
                  <c:v>3.7610600000000001</c:v>
                </c:pt>
                <c:pt idx="5">
                  <c:v>4.2601800000000001</c:v>
                </c:pt>
                <c:pt idx="6">
                  <c:v>4.75814</c:v>
                </c:pt>
                <c:pt idx="7">
                  <c:v>5.25624</c:v>
                </c:pt>
                <c:pt idx="8">
                  <c:v>5.7542799999999996</c:v>
                </c:pt>
                <c:pt idx="9">
                  <c:v>6.2514399999999997</c:v>
                </c:pt>
              </c:numCache>
            </c:numRef>
          </c:xVal>
          <c:yVal>
            <c:numRef>
              <c:f>'Step 1.8'!$I$72:$I$81</c:f>
              <c:numCache>
                <c:formatCode>0.00E+00</c:formatCode>
                <c:ptCount val="10"/>
                <c:pt idx="0">
                  <c:v>2.0791999999999998E-3</c:v>
                </c:pt>
                <c:pt idx="1">
                  <c:v>2.3231999999999997E-3</c:v>
                </c:pt>
                <c:pt idx="2">
                  <c:v>2.3574000000000008E-3</c:v>
                </c:pt>
                <c:pt idx="3">
                  <c:v>2.3546000000000001E-3</c:v>
                </c:pt>
                <c:pt idx="4">
                  <c:v>2.3893999999999994E-3</c:v>
                </c:pt>
                <c:pt idx="5">
                  <c:v>2.3981999999999992E-3</c:v>
                </c:pt>
                <c:pt idx="6">
                  <c:v>2.4185999999999995E-3</c:v>
                </c:pt>
                <c:pt idx="7">
                  <c:v>2.4375999999999998E-3</c:v>
                </c:pt>
                <c:pt idx="8">
                  <c:v>2.457200000000004E-3</c:v>
                </c:pt>
                <c:pt idx="9">
                  <c:v>2.4856000000000032E-3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47-4DA6-B8B2-59773EB0C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6463"/>
        <c:axId val="1283841903"/>
      </c:scatterChart>
      <c:valAx>
        <c:axId val="128385646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1903"/>
        <c:crosses val="autoZero"/>
        <c:crossBetween val="midCat"/>
      </c:valAx>
      <c:valAx>
        <c:axId val="128384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6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-1V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0927276463418644"/>
                  <c:y val="-0.304869130174322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1.8'!$E$82:$E$91</c:f>
              <c:numCache>
                <c:formatCode>General</c:formatCode>
                <c:ptCount val="10"/>
                <c:pt idx="2">
                  <c:v>2.4151600000000002</c:v>
                </c:pt>
                <c:pt idx="3">
                  <c:v>2.91106</c:v>
                </c:pt>
                <c:pt idx="4">
                  <c:v>3.41134</c:v>
                </c:pt>
                <c:pt idx="5">
                  <c:v>3.9084400000000001</c:v>
                </c:pt>
                <c:pt idx="6">
                  <c:v>4.4068800000000001</c:v>
                </c:pt>
                <c:pt idx="7">
                  <c:v>4.9002599999999994</c:v>
                </c:pt>
                <c:pt idx="8">
                  <c:v>5.3993200000000003</c:v>
                </c:pt>
                <c:pt idx="9">
                  <c:v>5.8973800000000001</c:v>
                </c:pt>
              </c:numCache>
            </c:numRef>
          </c:xVal>
          <c:yVal>
            <c:numRef>
              <c:f>'Step 1.8'!$I$82:$I$91</c:f>
              <c:numCache>
                <c:formatCode>0.00E+00</c:formatCode>
                <c:ptCount val="10"/>
                <c:pt idx="0">
                  <c:v>-7.6679999999999967E-4</c:v>
                </c:pt>
                <c:pt idx="1">
                  <c:v>8.7979999999999948E-4</c:v>
                </c:pt>
                <c:pt idx="2">
                  <c:v>8.4840000000000024E-4</c:v>
                </c:pt>
                <c:pt idx="3">
                  <c:v>8.8940000000000015E-4</c:v>
                </c:pt>
                <c:pt idx="4">
                  <c:v>8.8659999999999965E-4</c:v>
                </c:pt>
                <c:pt idx="5">
                  <c:v>9.1559999999999862E-4</c:v>
                </c:pt>
                <c:pt idx="6">
                  <c:v>9.3119999999999867E-4</c:v>
                </c:pt>
                <c:pt idx="7">
                  <c:v>9.9740000000000158E-4</c:v>
                </c:pt>
                <c:pt idx="8">
                  <c:v>1.0067999999999965E-3</c:v>
                </c:pt>
                <c:pt idx="9">
                  <c:v>1.0261999999999992E-3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AF-41F5-B9DC-A5E7B4011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3551"/>
        <c:axId val="1283843151"/>
      </c:scatterChart>
      <c:valAx>
        <c:axId val="128385355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3151"/>
        <c:crosses val="autoZero"/>
        <c:crossBetween val="midCat"/>
      </c:valAx>
      <c:valAx>
        <c:axId val="128384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3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 =</a:t>
            </a:r>
            <a:r>
              <a:rPr lang="en-CA" baseline="0"/>
              <a:t> VE </a:t>
            </a:r>
            <a:r>
              <a:rPr lang="en-CA"/>
              <a:t>= 5 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5908170546742368"/>
                  <c:y val="-0.128877602876480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2.2-2.4'!$E$2:$E$11</c:f>
              <c:numCache>
                <c:formatCode>0.00</c:formatCode>
                <c:ptCount val="10"/>
                <c:pt idx="0">
                  <c:v>9.4341730499938592</c:v>
                </c:pt>
                <c:pt idx="1">
                  <c:v>8.9361045279799693</c:v>
                </c:pt>
                <c:pt idx="2">
                  <c:v>8.43803600591011</c:v>
                </c:pt>
                <c:pt idx="3">
                  <c:v>7.9399674837786804</c:v>
                </c:pt>
                <c:pt idx="4">
                  <c:v>7.4418989615865101</c:v>
                </c:pt>
                <c:pt idx="5">
                  <c:v>6.9438304393402097</c:v>
                </c:pt>
                <c:pt idx="6">
                  <c:v>6.4457619170325202</c:v>
                </c:pt>
                <c:pt idx="7">
                  <c:v>5.9476933946697788</c:v>
                </c:pt>
                <c:pt idx="8">
                  <c:v>5.4496248722522926</c:v>
                </c:pt>
                <c:pt idx="9">
                  <c:v>4.9515563497754957</c:v>
                </c:pt>
              </c:numCache>
            </c:numRef>
          </c:xVal>
          <c:yVal>
            <c:numRef>
              <c:f>'Steps 2.2-2.4'!$I$2:$I$11</c:f>
              <c:numCache>
                <c:formatCode>0.00E+00</c:formatCode>
                <c:ptCount val="10"/>
                <c:pt idx="0">
                  <c:v>5.658269500061399E-3</c:v>
                </c:pt>
                <c:pt idx="1">
                  <c:v>5.638954720200302E-3</c:v>
                </c:pt>
                <c:pt idx="2">
                  <c:v>5.6196399408988996E-3</c:v>
                </c:pt>
                <c:pt idx="3">
                  <c:v>5.6003251622132001E-3</c:v>
                </c:pt>
                <c:pt idx="4">
                  <c:v>5.5810103841348992E-3</c:v>
                </c:pt>
                <c:pt idx="5">
                  <c:v>5.5616956065979006E-3</c:v>
                </c:pt>
                <c:pt idx="6">
                  <c:v>5.5423808296747997E-3</c:v>
                </c:pt>
                <c:pt idx="7">
                  <c:v>5.52306605330221E-3</c:v>
                </c:pt>
                <c:pt idx="8">
                  <c:v>5.5037512774770703E-3</c:v>
                </c:pt>
                <c:pt idx="9">
                  <c:v>5.4844365022450473E-3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D6-4533-BD81-874ED91C6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8223"/>
        <c:axId val="1778969055"/>
      </c:scatterChart>
      <c:valAx>
        <c:axId val="1778968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9055"/>
        <c:crosses val="autoZero"/>
        <c:crossBetween val="midCat"/>
      </c:valAx>
      <c:valAx>
        <c:axId val="177896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8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 </a:t>
            </a:r>
            <a:r>
              <a:rPr lang="en-CA" sz="1400" b="0" i="0" u="none" strike="noStrike" baseline="0">
                <a:effectLst/>
              </a:rPr>
              <a:t>= VE </a:t>
            </a:r>
            <a:r>
              <a:rPr lang="en-CA"/>
              <a:t>= 3.5V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0031782070057281"/>
                  <c:y val="-0.128877602876480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2.2-2.4'!$E$12:$E$21</c:f>
              <c:numCache>
                <c:formatCode>0.00</c:formatCode>
                <c:ptCount val="10"/>
                <c:pt idx="0">
                  <c:v>8.9993280630000001</c:v>
                </c:pt>
                <c:pt idx="1">
                  <c:v>8.501041506</c:v>
                </c:pt>
                <c:pt idx="2">
                  <c:v>8.0027549489999998</c:v>
                </c:pt>
                <c:pt idx="3">
                  <c:v>7.5044683919999997</c:v>
                </c:pt>
                <c:pt idx="4">
                  <c:v>7.0061818349999996</c:v>
                </c:pt>
                <c:pt idx="5">
                  <c:v>6.5078952769999994</c:v>
                </c:pt>
                <c:pt idx="6">
                  <c:v>6.009608719</c:v>
                </c:pt>
                <c:pt idx="7">
                  <c:v>5.5113221609999998</c:v>
                </c:pt>
                <c:pt idx="8">
                  <c:v>5.0130356020000004</c:v>
                </c:pt>
                <c:pt idx="9">
                  <c:v>4.5147490530000001</c:v>
                </c:pt>
              </c:numCache>
            </c:numRef>
          </c:xVal>
          <c:yVal>
            <c:numRef>
              <c:f>'Steps 2.2-2.4'!$I$12:$I$21</c:f>
              <c:numCache>
                <c:formatCode>0.00E+00</c:formatCode>
                <c:ptCount val="10"/>
                <c:pt idx="0">
                  <c:v>5.0067193699999991E-3</c:v>
                </c:pt>
                <c:pt idx="1">
                  <c:v>4.9895849400000006E-3</c:v>
                </c:pt>
                <c:pt idx="2">
                  <c:v>4.9724505100000012E-3</c:v>
                </c:pt>
                <c:pt idx="3">
                  <c:v>4.9553160799999984E-3</c:v>
                </c:pt>
                <c:pt idx="4">
                  <c:v>4.9381816499999998E-3</c:v>
                </c:pt>
                <c:pt idx="5">
                  <c:v>4.9210472300000021E-3</c:v>
                </c:pt>
                <c:pt idx="6">
                  <c:v>4.9039128099999992E-3</c:v>
                </c:pt>
                <c:pt idx="7">
                  <c:v>4.8867783899999998E-3</c:v>
                </c:pt>
                <c:pt idx="8">
                  <c:v>4.8696439800000003E-3</c:v>
                </c:pt>
                <c:pt idx="9">
                  <c:v>4.8525094699999995E-3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93-4BED-A27B-25E9B6613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3135"/>
        <c:axId val="1283855631"/>
      </c:scatterChart>
      <c:valAx>
        <c:axId val="1283853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5631"/>
        <c:crosses val="autoZero"/>
        <c:crossBetween val="midCat"/>
      </c:valAx>
      <c:valAx>
        <c:axId val="128385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3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 </a:t>
            </a:r>
            <a:r>
              <a:rPr lang="en-CA" sz="1400" b="0" i="0" u="none" strike="noStrike" baseline="0">
                <a:effectLst/>
              </a:rPr>
              <a:t>= VE </a:t>
            </a:r>
            <a:r>
              <a:rPr lang="en-CA"/>
              <a:t>= 2.5V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4273536140887034"/>
                  <c:y val="-0.109721519093924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Lit>
              <c:formatCode>General</c:formatCode>
              <c:ptCount val="10"/>
              <c:pt idx="0">
                <c:v>2.5</c:v>
              </c:pt>
              <c:pt idx="1">
                <c:v>2.5</c:v>
              </c:pt>
              <c:pt idx="2">
                <c:v>2.5</c:v>
              </c:pt>
              <c:pt idx="3">
                <c:v>2.5</c:v>
              </c:pt>
              <c:pt idx="4">
                <c:v>2.5</c:v>
              </c:pt>
              <c:pt idx="5">
                <c:v>2.5</c:v>
              </c:pt>
              <c:pt idx="6">
                <c:v>2.5</c:v>
              </c:pt>
              <c:pt idx="7">
                <c:v>2.5</c:v>
              </c:pt>
              <c:pt idx="8">
                <c:v>2.5</c:v>
              </c:pt>
              <c:pt idx="9">
                <c:v>2.5</c:v>
              </c:pt>
            </c:numLit>
          </c:xVal>
          <c:yVal>
            <c:numLit>
              <c:formatCode>General</c:formatCode>
              <c:ptCount val="10"/>
              <c:pt idx="0">
                <c:v>0.05</c:v>
              </c:pt>
              <c:pt idx="1">
                <c:v>4.4999999999999998E-2</c:v>
              </c:pt>
              <c:pt idx="2">
                <c:v>0.04</c:v>
              </c:pt>
              <c:pt idx="3">
                <c:v>3.5000000000000003E-2</c:v>
              </c:pt>
              <c:pt idx="4">
                <c:v>0.03</c:v>
              </c:pt>
              <c:pt idx="5">
                <c:v>2.5000000000000001E-2</c:v>
              </c:pt>
              <c:pt idx="6">
                <c:v>0.02</c:v>
              </c:pt>
              <c:pt idx="7">
                <c:v>1.4999999999999999E-2</c:v>
              </c:pt>
              <c:pt idx="8">
                <c:v>0.01</c:v>
              </c:pt>
              <c:pt idx="9">
                <c:v>5.0000000000000001E-3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DEE-4AD6-B887-1CB6B2072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4063"/>
        <c:axId val="1778954495"/>
      </c:scatterChart>
      <c:valAx>
        <c:axId val="1778964063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4495"/>
        <c:crosses val="autoZero"/>
        <c:crossBetween val="midCat"/>
      </c:valAx>
      <c:valAx>
        <c:axId val="177895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4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 </a:t>
            </a:r>
            <a:r>
              <a:rPr lang="en-CA" sz="1400" b="0" i="0" u="none" strike="noStrike" baseline="0">
                <a:effectLst/>
              </a:rPr>
              <a:t>= VE</a:t>
            </a:r>
            <a:r>
              <a:rPr lang="en-CA"/>
              <a:t> = 2V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604680681700847"/>
                  <c:y val="-0.122748058811869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2.2-2.4'!$E$22:$E$31</c:f>
              <c:numCache>
                <c:formatCode>0.00</c:formatCode>
                <c:ptCount val="10"/>
                <c:pt idx="0">
                  <c:v>8.5648615350000004</c:v>
                </c:pt>
                <c:pt idx="1">
                  <c:v>8.0663543450000006</c:v>
                </c:pt>
                <c:pt idx="2">
                  <c:v>7.5678471539999999</c:v>
                </c:pt>
                <c:pt idx="3">
                  <c:v>7.0693399600000006</c:v>
                </c:pt>
                <c:pt idx="4">
                  <c:v>6.5708327650000005</c:v>
                </c:pt>
                <c:pt idx="5">
                  <c:v>6.0723255680000001</c:v>
                </c:pt>
                <c:pt idx="6">
                  <c:v>5.5738183929999998</c:v>
                </c:pt>
                <c:pt idx="7">
                  <c:v>5.0753111870000005</c:v>
                </c:pt>
                <c:pt idx="8">
                  <c:v>4.5768040120000002</c:v>
                </c:pt>
                <c:pt idx="9">
                  <c:v>4.078296806</c:v>
                </c:pt>
              </c:numCache>
            </c:numRef>
          </c:xVal>
          <c:yVal>
            <c:numRef>
              <c:f>'Steps 2.2-2.4'!$I$22:$I$31</c:f>
              <c:numCache>
                <c:formatCode>0.00E+00</c:formatCode>
                <c:ptCount val="10"/>
                <c:pt idx="0">
                  <c:v>4.3513846499999963E-3</c:v>
                </c:pt>
                <c:pt idx="1">
                  <c:v>4.3364565500000028E-3</c:v>
                </c:pt>
                <c:pt idx="2">
                  <c:v>4.3215284600000015E-3</c:v>
                </c:pt>
                <c:pt idx="3">
                  <c:v>4.3066003999999982E-3</c:v>
                </c:pt>
                <c:pt idx="4">
                  <c:v>4.2916723500000002E-3</c:v>
                </c:pt>
                <c:pt idx="5">
                  <c:v>4.2767443199999986E-3</c:v>
                </c:pt>
                <c:pt idx="6">
                  <c:v>4.2618160699999996E-3</c:v>
                </c:pt>
                <c:pt idx="7">
                  <c:v>4.2468881299999994E-3</c:v>
                </c:pt>
                <c:pt idx="8">
                  <c:v>4.2319598800000004E-3</c:v>
                </c:pt>
                <c:pt idx="9">
                  <c:v>4.2170319400000001E-3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F8-4218-BB2C-61207FD8E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004511"/>
        <c:axId val="1777005343"/>
      </c:scatterChart>
      <c:valAx>
        <c:axId val="1777004511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5343"/>
        <c:crosses val="autoZero"/>
        <c:crossBetween val="midCat"/>
      </c:valAx>
      <c:valAx>
        <c:axId val="177700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4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 =</a:t>
            </a:r>
            <a:r>
              <a:rPr lang="en-CA" baseline="0"/>
              <a:t> VE </a:t>
            </a:r>
            <a:r>
              <a:rPr lang="en-CA"/>
              <a:t>= 5 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5908170546742368"/>
                  <c:y val="-0.128877602876480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2.2-2.4'!$E$2:$E$11</c:f>
              <c:numCache>
                <c:formatCode>0.00</c:formatCode>
                <c:ptCount val="10"/>
                <c:pt idx="0">
                  <c:v>9.4341730499938592</c:v>
                </c:pt>
                <c:pt idx="1">
                  <c:v>8.9361045279799693</c:v>
                </c:pt>
                <c:pt idx="2">
                  <c:v>8.43803600591011</c:v>
                </c:pt>
                <c:pt idx="3">
                  <c:v>7.9399674837786804</c:v>
                </c:pt>
                <c:pt idx="4">
                  <c:v>7.4418989615865101</c:v>
                </c:pt>
                <c:pt idx="5">
                  <c:v>6.9438304393402097</c:v>
                </c:pt>
                <c:pt idx="6">
                  <c:v>6.4457619170325202</c:v>
                </c:pt>
                <c:pt idx="7">
                  <c:v>5.9476933946697788</c:v>
                </c:pt>
                <c:pt idx="8">
                  <c:v>5.4496248722522926</c:v>
                </c:pt>
                <c:pt idx="9">
                  <c:v>4.9515563497754957</c:v>
                </c:pt>
              </c:numCache>
            </c:numRef>
          </c:xVal>
          <c:yVal>
            <c:numRef>
              <c:f>'Steps 2.2-2.4'!$I$2:$I$11</c:f>
              <c:numCache>
                <c:formatCode>0.00E+00</c:formatCode>
                <c:ptCount val="10"/>
                <c:pt idx="0">
                  <c:v>5.658269500061399E-3</c:v>
                </c:pt>
                <c:pt idx="1">
                  <c:v>5.638954720200302E-3</c:v>
                </c:pt>
                <c:pt idx="2">
                  <c:v>5.6196399408988996E-3</c:v>
                </c:pt>
                <c:pt idx="3">
                  <c:v>5.6003251622132001E-3</c:v>
                </c:pt>
                <c:pt idx="4">
                  <c:v>5.5810103841348992E-3</c:v>
                </c:pt>
                <c:pt idx="5">
                  <c:v>5.5616956065979006E-3</c:v>
                </c:pt>
                <c:pt idx="6">
                  <c:v>5.5423808296747997E-3</c:v>
                </c:pt>
                <c:pt idx="7">
                  <c:v>5.52306605330221E-3</c:v>
                </c:pt>
                <c:pt idx="8">
                  <c:v>5.5037512774770703E-3</c:v>
                </c:pt>
                <c:pt idx="9">
                  <c:v>5.4844365022450473E-3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77-4F7A-A6A2-78DA580E7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8223"/>
        <c:axId val="1778969055"/>
      </c:scatterChart>
      <c:valAx>
        <c:axId val="1778968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9055"/>
        <c:crosses val="autoZero"/>
        <c:crossBetween val="midCat"/>
      </c:valAx>
      <c:valAx>
        <c:axId val="177896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8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</a:t>
            </a:r>
            <a:r>
              <a:rPr lang="en-CA" baseline="0"/>
              <a:t> </a:t>
            </a:r>
            <a:r>
              <a:rPr lang="en-CA" sz="1400" b="0" i="0" u="none" strike="noStrike" baseline="0">
                <a:effectLst/>
              </a:rPr>
              <a:t>= VE </a:t>
            </a:r>
            <a:r>
              <a:rPr lang="en-CA" baseline="0"/>
              <a:t>= 4.5V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6908947414601689"/>
                  <c:y val="-0.100349100909379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2.2-2.4'!$E$12:$E$21</c:f>
              <c:numCache>
                <c:formatCode>0.00</c:formatCode>
                <c:ptCount val="10"/>
                <c:pt idx="0">
                  <c:v>8.9993280630000001</c:v>
                </c:pt>
                <c:pt idx="1">
                  <c:v>8.501041506</c:v>
                </c:pt>
                <c:pt idx="2">
                  <c:v>8.0027549489999998</c:v>
                </c:pt>
                <c:pt idx="3">
                  <c:v>7.5044683919999997</c:v>
                </c:pt>
                <c:pt idx="4">
                  <c:v>7.0061818349999996</c:v>
                </c:pt>
                <c:pt idx="5">
                  <c:v>6.5078952769999994</c:v>
                </c:pt>
                <c:pt idx="6">
                  <c:v>6.009608719</c:v>
                </c:pt>
                <c:pt idx="7">
                  <c:v>5.5113221609999998</c:v>
                </c:pt>
                <c:pt idx="8">
                  <c:v>5.0130356020000004</c:v>
                </c:pt>
                <c:pt idx="9">
                  <c:v>4.5147490530000001</c:v>
                </c:pt>
              </c:numCache>
            </c:numRef>
          </c:xVal>
          <c:yVal>
            <c:numRef>
              <c:f>'Steps 2.2-2.4'!$I$12:$I$21</c:f>
              <c:numCache>
                <c:formatCode>0.00E+00</c:formatCode>
                <c:ptCount val="10"/>
                <c:pt idx="0">
                  <c:v>5.0067193699999991E-3</c:v>
                </c:pt>
                <c:pt idx="1">
                  <c:v>4.9895849400000006E-3</c:v>
                </c:pt>
                <c:pt idx="2">
                  <c:v>4.9724505100000012E-3</c:v>
                </c:pt>
                <c:pt idx="3">
                  <c:v>4.9553160799999984E-3</c:v>
                </c:pt>
                <c:pt idx="4">
                  <c:v>4.9381816499999998E-3</c:v>
                </c:pt>
                <c:pt idx="5">
                  <c:v>4.9210472300000021E-3</c:v>
                </c:pt>
                <c:pt idx="6">
                  <c:v>4.9039128099999992E-3</c:v>
                </c:pt>
                <c:pt idx="7">
                  <c:v>4.8867783899999998E-3</c:v>
                </c:pt>
                <c:pt idx="8">
                  <c:v>4.8696439800000003E-3</c:v>
                </c:pt>
                <c:pt idx="9">
                  <c:v>4.8525094699999995E-3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B0-42BB-ADBF-CD90DF2E0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2719"/>
        <c:axId val="1283846895"/>
      </c:scatterChart>
      <c:valAx>
        <c:axId val="1283852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6895"/>
        <c:crosses val="autoZero"/>
        <c:crossBetween val="midCat"/>
      </c:valAx>
      <c:valAx>
        <c:axId val="128384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2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 </a:t>
            </a:r>
            <a:r>
              <a:rPr lang="en-CA" sz="1400" b="0" i="0" u="none" strike="noStrike" baseline="0">
                <a:effectLst/>
              </a:rPr>
              <a:t>= VE </a:t>
            </a:r>
            <a:r>
              <a:rPr lang="en-CA"/>
              <a:t>= 4V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9084303866864017"/>
                  <c:y val="-0.108077217430672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2.2-2.4'!$E$22:$E$31</c:f>
              <c:numCache>
                <c:formatCode>0.00</c:formatCode>
                <c:ptCount val="10"/>
                <c:pt idx="0">
                  <c:v>8.5648615350000004</c:v>
                </c:pt>
                <c:pt idx="1">
                  <c:v>8.0663543450000006</c:v>
                </c:pt>
                <c:pt idx="2">
                  <c:v>7.5678471539999999</c:v>
                </c:pt>
                <c:pt idx="3">
                  <c:v>7.0693399600000006</c:v>
                </c:pt>
                <c:pt idx="4">
                  <c:v>6.5708327650000005</c:v>
                </c:pt>
                <c:pt idx="5">
                  <c:v>6.0723255680000001</c:v>
                </c:pt>
                <c:pt idx="6">
                  <c:v>5.5738183929999998</c:v>
                </c:pt>
                <c:pt idx="7">
                  <c:v>5.0753111870000005</c:v>
                </c:pt>
                <c:pt idx="8">
                  <c:v>4.5768040120000002</c:v>
                </c:pt>
                <c:pt idx="9">
                  <c:v>4.078296806</c:v>
                </c:pt>
              </c:numCache>
            </c:numRef>
          </c:xVal>
          <c:yVal>
            <c:numRef>
              <c:f>'Steps 2.2-2.4'!$I$22:$I$31</c:f>
              <c:numCache>
                <c:formatCode>0.00E+00</c:formatCode>
                <c:ptCount val="10"/>
                <c:pt idx="0">
                  <c:v>4.3513846499999963E-3</c:v>
                </c:pt>
                <c:pt idx="1">
                  <c:v>4.3364565500000028E-3</c:v>
                </c:pt>
                <c:pt idx="2">
                  <c:v>4.3215284600000015E-3</c:v>
                </c:pt>
                <c:pt idx="3">
                  <c:v>4.3066003999999982E-3</c:v>
                </c:pt>
                <c:pt idx="4">
                  <c:v>4.2916723500000002E-3</c:v>
                </c:pt>
                <c:pt idx="5">
                  <c:v>4.2767443199999986E-3</c:v>
                </c:pt>
                <c:pt idx="6">
                  <c:v>4.2618160699999996E-3</c:v>
                </c:pt>
                <c:pt idx="7">
                  <c:v>4.2468881299999994E-3</c:v>
                </c:pt>
                <c:pt idx="8">
                  <c:v>4.2319598800000004E-3</c:v>
                </c:pt>
                <c:pt idx="9">
                  <c:v>4.2170319400000001E-3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C8-46A2-A711-AAC673C81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46063"/>
        <c:axId val="1283856047"/>
      </c:scatterChart>
      <c:valAx>
        <c:axId val="1283846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6047"/>
        <c:crosses val="autoZero"/>
        <c:crossBetween val="midCat"/>
      </c:valAx>
      <c:valAx>
        <c:axId val="128385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 </a:t>
            </a:r>
            <a:r>
              <a:rPr lang="en-CA" sz="1400" b="0" i="0" u="none" strike="noStrike" baseline="0">
                <a:effectLst/>
              </a:rPr>
              <a:t>= VE </a:t>
            </a:r>
            <a:r>
              <a:rPr lang="en-CA"/>
              <a:t>= 3.5V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0031782070057281"/>
                  <c:y val="-0.128877602876480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2.2-2.4'!$E$32:$E$41</c:f>
              <c:numCache>
                <c:formatCode>0.00</c:formatCode>
                <c:ptCount val="10"/>
                <c:pt idx="0">
                  <c:v>8.1307225550000002</c:v>
                </c:pt>
                <c:pt idx="1">
                  <c:v>7.6319923230000004</c:v>
                </c:pt>
                <c:pt idx="2">
                  <c:v>7.1332620809999998</c:v>
                </c:pt>
                <c:pt idx="3">
                  <c:v>6.634531849</c:v>
                </c:pt>
                <c:pt idx="4">
                  <c:v>6.1358016059999994</c:v>
                </c:pt>
                <c:pt idx="5">
                  <c:v>5.6370713739999996</c:v>
                </c:pt>
                <c:pt idx="6">
                  <c:v>5.1383411319999999</c:v>
                </c:pt>
                <c:pt idx="7">
                  <c:v>4.6396109000000001</c:v>
                </c:pt>
                <c:pt idx="8">
                  <c:v>4.1408806570000003</c:v>
                </c:pt>
                <c:pt idx="9">
                  <c:v>3.6421504260000002</c:v>
                </c:pt>
              </c:numCache>
            </c:numRef>
          </c:xVal>
          <c:yVal>
            <c:numRef>
              <c:f>'Steps 2.2-2.4'!$I$32:$I$41</c:f>
              <c:numCache>
                <c:formatCode>0.00E+00</c:formatCode>
                <c:ptCount val="10"/>
                <c:pt idx="0">
                  <c:v>3.692774449999998E-3</c:v>
                </c:pt>
                <c:pt idx="1">
                  <c:v>3.6800767699999961E-3</c:v>
                </c:pt>
                <c:pt idx="2">
                  <c:v>3.667379190000002E-3</c:v>
                </c:pt>
                <c:pt idx="3">
                  <c:v>3.6546815099999996E-3</c:v>
                </c:pt>
                <c:pt idx="4">
                  <c:v>3.641983940000002E-3</c:v>
                </c:pt>
                <c:pt idx="5">
                  <c:v>3.6292862599999996E-3</c:v>
                </c:pt>
                <c:pt idx="6">
                  <c:v>3.616588679999999E-3</c:v>
                </c:pt>
                <c:pt idx="7">
                  <c:v>3.6038909999999993E-3</c:v>
                </c:pt>
                <c:pt idx="8">
                  <c:v>3.5911934300000004E-3</c:v>
                </c:pt>
                <c:pt idx="9">
                  <c:v>3.5784957400000002E-3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8E-46E4-886D-3F62E9676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3135"/>
        <c:axId val="1283855631"/>
      </c:scatterChart>
      <c:valAx>
        <c:axId val="1283853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5631"/>
        <c:crosses val="autoZero"/>
        <c:crossBetween val="midCat"/>
      </c:valAx>
      <c:valAx>
        <c:axId val="128385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3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 </a:t>
            </a:r>
            <a:r>
              <a:rPr lang="en-CA" sz="1400" b="0" i="0" u="none" strike="noStrike" baseline="0">
                <a:effectLst/>
              </a:rPr>
              <a:t>= VE </a:t>
            </a:r>
            <a:r>
              <a:rPr lang="en-CA"/>
              <a:t>= 3V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2187364778658687"/>
                  <c:y val="-0.134268970518429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2.2-2.4'!$E$42:$E$51</c:f>
              <c:numCache>
                <c:formatCode>0.00</c:formatCode>
                <c:ptCount val="10"/>
                <c:pt idx="0">
                  <c:v>7.6968182020000002</c:v>
                </c:pt>
                <c:pt idx="1">
                  <c:v>7.1978628520000001</c:v>
                </c:pt>
                <c:pt idx="2">
                  <c:v>6.698907502</c:v>
                </c:pt>
                <c:pt idx="3">
                  <c:v>6.1999521519999998</c:v>
                </c:pt>
                <c:pt idx="4">
                  <c:v>5.7009968020000006</c:v>
                </c:pt>
                <c:pt idx="5">
                  <c:v>5.2020414519999996</c:v>
                </c:pt>
                <c:pt idx="6">
                  <c:v>4.7030861020000003</c:v>
                </c:pt>
                <c:pt idx="7">
                  <c:v>4.2041307520000002</c:v>
                </c:pt>
                <c:pt idx="8">
                  <c:v>3.7051754020000001</c:v>
                </c:pt>
                <c:pt idx="9">
                  <c:v>3.2062200519999999</c:v>
                </c:pt>
              </c:numCache>
            </c:numRef>
          </c:xVal>
          <c:yVal>
            <c:numRef>
              <c:f>'Steps 2.2-2.4'!$I$42:$I$51</c:f>
              <c:numCache>
                <c:formatCode>0.00E+00</c:formatCode>
                <c:ptCount val="10"/>
                <c:pt idx="0">
                  <c:v>3.0318179799999978E-3</c:v>
                </c:pt>
                <c:pt idx="1">
                  <c:v>3.0213714799999991E-3</c:v>
                </c:pt>
                <c:pt idx="2">
                  <c:v>3.0109249800000003E-3</c:v>
                </c:pt>
                <c:pt idx="3">
                  <c:v>3.0004784800000016E-3</c:v>
                </c:pt>
                <c:pt idx="4">
                  <c:v>2.9900319799999985E-3</c:v>
                </c:pt>
                <c:pt idx="5">
                  <c:v>2.9795854799999997E-3</c:v>
                </c:pt>
                <c:pt idx="6">
                  <c:v>2.9691389799999992E-3</c:v>
                </c:pt>
                <c:pt idx="7">
                  <c:v>2.9586924800000004E-3</c:v>
                </c:pt>
                <c:pt idx="8">
                  <c:v>2.9482459800000004E-3</c:v>
                </c:pt>
                <c:pt idx="9">
                  <c:v>2.9377994800000003E-3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0A-4BE7-8CDD-9B4AF3B81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53663"/>
        <c:axId val="1778956991"/>
      </c:scatterChart>
      <c:valAx>
        <c:axId val="1778953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6991"/>
        <c:crosses val="autoZero"/>
        <c:crossBetween val="midCat"/>
      </c:valAx>
      <c:valAx>
        <c:axId val="177895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3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 </a:t>
            </a:r>
            <a:r>
              <a:rPr lang="en-CA" sz="1400" b="0" i="0" u="none" strike="noStrike" baseline="0">
                <a:effectLst/>
              </a:rPr>
              <a:t>= VE </a:t>
            </a:r>
            <a:r>
              <a:rPr lang="en-CA"/>
              <a:t>= 2.5V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5893315648453703"/>
                  <c:y val="-0.132505539213918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2.2-2.4'!$E$52:$E$61</c:f>
              <c:numCache>
                <c:formatCode>0.00</c:formatCode>
                <c:ptCount val="10"/>
                <c:pt idx="0">
                  <c:v>7.2629783430000003</c:v>
                </c:pt>
                <c:pt idx="1">
                  <c:v>6.7637964530000003</c:v>
                </c:pt>
                <c:pt idx="2">
                  <c:v>6.2646145630000003</c:v>
                </c:pt>
                <c:pt idx="3">
                  <c:v>5.7654326729999994</c:v>
                </c:pt>
                <c:pt idx="4">
                  <c:v>5.2662507830000003</c:v>
                </c:pt>
                <c:pt idx="5">
                  <c:v>4.7670688929999994</c:v>
                </c:pt>
                <c:pt idx="6">
                  <c:v>4.2678870020000002</c:v>
                </c:pt>
                <c:pt idx="7">
                  <c:v>3.7687051120000001</c:v>
                </c:pt>
                <c:pt idx="8">
                  <c:v>3.2695232220000001</c:v>
                </c:pt>
                <c:pt idx="9">
                  <c:v>2.7703413320000001</c:v>
                </c:pt>
              </c:numCache>
            </c:numRef>
          </c:xVal>
          <c:yVal>
            <c:numRef>
              <c:f>'Steps 2.2-2.4'!$I$52:$I$61</c:f>
              <c:numCache>
                <c:formatCode>0.00E+00</c:formatCode>
                <c:ptCount val="10"/>
                <c:pt idx="0">
                  <c:v>2.3702165699999965E-3</c:v>
                </c:pt>
                <c:pt idx="1">
                  <c:v>2.362035469999997E-3</c:v>
                </c:pt>
                <c:pt idx="2">
                  <c:v>2.3538543700000014E-3</c:v>
                </c:pt>
                <c:pt idx="3">
                  <c:v>2.3456732700000015E-3</c:v>
                </c:pt>
                <c:pt idx="4">
                  <c:v>2.337492170000002E-3</c:v>
                </c:pt>
                <c:pt idx="5">
                  <c:v>2.329311070000002E-3</c:v>
                </c:pt>
                <c:pt idx="6">
                  <c:v>2.3211299800000008E-3</c:v>
                </c:pt>
                <c:pt idx="7">
                  <c:v>2.3129488800000008E-3</c:v>
                </c:pt>
                <c:pt idx="8">
                  <c:v>2.30476778E-3</c:v>
                </c:pt>
                <c:pt idx="9">
                  <c:v>2.2965866800000001E-3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C3-44D5-AF6C-26C724994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4063"/>
        <c:axId val="1778954495"/>
      </c:scatterChart>
      <c:valAx>
        <c:axId val="1778964063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4495"/>
        <c:crosses val="autoZero"/>
        <c:crossBetween val="midCat"/>
      </c:valAx>
      <c:valAx>
        <c:axId val="177895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4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 </a:t>
            </a:r>
            <a:r>
              <a:rPr lang="en-CA" sz="1400" b="0" i="0" u="none" strike="noStrike" baseline="0">
                <a:effectLst/>
              </a:rPr>
              <a:t>= VE</a:t>
            </a:r>
            <a:r>
              <a:rPr lang="en-CA"/>
              <a:t> = 2V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8603384238306674"/>
                  <c:y val="-0.120035085332461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2.2-2.4'!$E$62:$E$71</c:f>
              <c:numCache>
                <c:formatCode>0.00</c:formatCode>
                <c:ptCount val="10"/>
                <c:pt idx="0">
                  <c:v>6.8288746519999997</c:v>
                </c:pt>
                <c:pt idx="1">
                  <c:v>6.3294660250000003</c:v>
                </c:pt>
                <c:pt idx="2">
                  <c:v>5.8300573980000001</c:v>
                </c:pt>
                <c:pt idx="3">
                  <c:v>5.3306487709999999</c:v>
                </c:pt>
                <c:pt idx="4">
                  <c:v>4.8312401450000007</c:v>
                </c:pt>
                <c:pt idx="5">
                  <c:v>4.3318315189999996</c:v>
                </c:pt>
                <c:pt idx="6">
                  <c:v>3.8324228900000001</c:v>
                </c:pt>
                <c:pt idx="7">
                  <c:v>3.333014264</c:v>
                </c:pt>
                <c:pt idx="8">
                  <c:v>2.8336056360000001</c:v>
                </c:pt>
                <c:pt idx="9">
                  <c:v>2.33419701</c:v>
                </c:pt>
              </c:numCache>
            </c:numRef>
          </c:xVal>
          <c:yVal>
            <c:numRef>
              <c:f>'Steps 2.2-2.4'!$I$62:$I$71</c:f>
              <c:numCache>
                <c:formatCode>0.00E+00</c:formatCode>
                <c:ptCount val="10"/>
                <c:pt idx="0">
                  <c:v>1.7112534800000035E-3</c:v>
                </c:pt>
                <c:pt idx="1">
                  <c:v>1.7053397499999967E-3</c:v>
                </c:pt>
                <c:pt idx="2">
                  <c:v>1.6994260199999988E-3</c:v>
                </c:pt>
                <c:pt idx="3">
                  <c:v>1.6935122900000011E-3</c:v>
                </c:pt>
                <c:pt idx="4">
                  <c:v>1.687598549999998E-3</c:v>
                </c:pt>
                <c:pt idx="5">
                  <c:v>1.6816848099999993E-3</c:v>
                </c:pt>
                <c:pt idx="6">
                  <c:v>1.6757711000000008E-3</c:v>
                </c:pt>
                <c:pt idx="7">
                  <c:v>1.6698573599999999E-3</c:v>
                </c:pt>
                <c:pt idx="8">
                  <c:v>1.6639436399999996E-3</c:v>
                </c:pt>
                <c:pt idx="9">
                  <c:v>1.6580298999999998E-3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FC-455B-9453-0AF351FC8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004511"/>
        <c:axId val="1777005343"/>
      </c:scatterChart>
      <c:valAx>
        <c:axId val="1777004511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5343"/>
        <c:crosses val="autoZero"/>
        <c:crossBetween val="midCat"/>
      </c:valAx>
      <c:valAx>
        <c:axId val="177700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4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 </a:t>
            </a:r>
            <a:r>
              <a:rPr lang="en-CA" sz="1400" b="0" i="0" u="none" strike="noStrike" baseline="0">
                <a:effectLst/>
              </a:rPr>
              <a:t>= VE </a:t>
            </a:r>
            <a:r>
              <a:rPr lang="en-CA"/>
              <a:t>= 1.5V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50329065755695723"/>
                  <c:y val="-0.118783633873007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2.2-2.4'!$E$72:$E$81</c:f>
              <c:numCache>
                <c:formatCode>0.00</c:formatCode>
                <c:ptCount val="10"/>
                <c:pt idx="0">
                  <c:v>6.3937893260000003</c:v>
                </c:pt>
                <c:pt idx="1">
                  <c:v>5.8941564360000003</c:v>
                </c:pt>
                <c:pt idx="2">
                  <c:v>5.3945235460000003</c:v>
                </c:pt>
                <c:pt idx="3">
                  <c:v>4.8948906559999994</c:v>
                </c:pt>
                <c:pt idx="4">
                  <c:v>4.3952577660000003</c:v>
                </c:pt>
                <c:pt idx="5">
                  <c:v>3.8956248759999998</c:v>
                </c:pt>
                <c:pt idx="6">
                  <c:v>3.3959919850000002</c:v>
                </c:pt>
                <c:pt idx="7">
                  <c:v>2.8963590950000002</c:v>
                </c:pt>
                <c:pt idx="8">
                  <c:v>2.3967262050000002</c:v>
                </c:pt>
                <c:pt idx="9">
                  <c:v>1.897093315</c:v>
                </c:pt>
              </c:numCache>
            </c:numRef>
          </c:xVal>
          <c:yVal>
            <c:numRef>
              <c:f>'Steps 2.2-2.4'!$I$72:$I$81</c:f>
              <c:numCache>
                <c:formatCode>0.00E+00</c:formatCode>
                <c:ptCount val="10"/>
                <c:pt idx="0">
                  <c:v>1.0621067399999972E-3</c:v>
                </c:pt>
                <c:pt idx="1">
                  <c:v>1.0584356399999972E-3</c:v>
                </c:pt>
                <c:pt idx="2">
                  <c:v>1.0547645400000017E-3</c:v>
                </c:pt>
                <c:pt idx="3">
                  <c:v>1.0510934400000016E-3</c:v>
                </c:pt>
                <c:pt idx="4">
                  <c:v>1.0474223400000016E-3</c:v>
                </c:pt>
                <c:pt idx="5">
                  <c:v>1.0437512400000015E-3</c:v>
                </c:pt>
                <c:pt idx="6">
                  <c:v>1.0400801500000001E-3</c:v>
                </c:pt>
                <c:pt idx="7">
                  <c:v>1.0364090500000001E-3</c:v>
                </c:pt>
                <c:pt idx="8">
                  <c:v>1.03273795E-3</c:v>
                </c:pt>
                <c:pt idx="9">
                  <c:v>1.02906685E-3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02-4BD7-A28F-705372712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6463"/>
        <c:axId val="1283841903"/>
      </c:scatterChart>
      <c:valAx>
        <c:axId val="1283856463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1903"/>
        <c:crosses val="autoZero"/>
        <c:crossBetween val="midCat"/>
      </c:valAx>
      <c:valAx>
        <c:axId val="128384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6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 </a:t>
            </a:r>
            <a:r>
              <a:rPr lang="en-CA" sz="1400" b="0" i="0" u="none" strike="noStrike" baseline="0">
                <a:effectLst/>
              </a:rPr>
              <a:t>= VE </a:t>
            </a:r>
            <a:r>
              <a:rPr lang="en-CA"/>
              <a:t>= 1V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51842109077515186"/>
                  <c:y val="-0.111833157929590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2.2-2.4'!$E$82:$E$91</c:f>
              <c:numCache>
                <c:formatCode>0.00</c:formatCode>
                <c:ptCount val="10"/>
                <c:pt idx="0">
                  <c:v>5.9556338459999996</c:v>
                </c:pt>
                <c:pt idx="1">
                  <c:v>5.4557868120000004</c:v>
                </c:pt>
                <c:pt idx="2">
                  <c:v>4.9559397839999999</c:v>
                </c:pt>
                <c:pt idx="3">
                  <c:v>4.4560927499999998</c:v>
                </c:pt>
                <c:pt idx="4">
                  <c:v>3.9562457219999998</c:v>
                </c:pt>
                <c:pt idx="5">
                  <c:v>3.4563986880000002</c:v>
                </c:pt>
                <c:pt idx="6">
                  <c:v>2.9565516590000001</c:v>
                </c:pt>
                <c:pt idx="7">
                  <c:v>2.456704625</c:v>
                </c:pt>
                <c:pt idx="8">
                  <c:v>1.9568575969999999</c:v>
                </c:pt>
                <c:pt idx="9">
                  <c:v>1.4570105629999999</c:v>
                </c:pt>
              </c:numCache>
            </c:numRef>
          </c:xVal>
          <c:yVal>
            <c:numRef>
              <c:f>'Steps 2.2-2.4'!$I$82:$I$91</c:f>
              <c:numCache>
                <c:formatCode>0.00E+00</c:formatCode>
                <c:ptCount val="10"/>
                <c:pt idx="0">
                  <c:v>4.4366154000000433E-4</c:v>
                </c:pt>
                <c:pt idx="1">
                  <c:v>4.4213187999999628E-4</c:v>
                </c:pt>
                <c:pt idx="2">
                  <c:v>4.4060216000000094E-4</c:v>
                </c:pt>
                <c:pt idx="3">
                  <c:v>4.3907250000000173E-4</c:v>
                </c:pt>
                <c:pt idx="4">
                  <c:v>4.37542780000002E-4</c:v>
                </c:pt>
                <c:pt idx="5">
                  <c:v>4.3601311999999834E-4</c:v>
                </c:pt>
                <c:pt idx="6">
                  <c:v>4.3448340999999944E-4</c:v>
                </c:pt>
                <c:pt idx="7">
                  <c:v>4.3295375000000023E-4</c:v>
                </c:pt>
                <c:pt idx="8">
                  <c:v>4.314240300000005E-4</c:v>
                </c:pt>
                <c:pt idx="9">
                  <c:v>4.298943700000002E-4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C2-409D-80F7-D36E59BE4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3551"/>
        <c:axId val="1283843151"/>
      </c:scatterChart>
      <c:valAx>
        <c:axId val="1283853551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</a:t>
                </a:r>
                <a:r>
                  <a:rPr lang="en-CA" baseline="0"/>
                  <a:t> (Volt)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3151"/>
        <c:crosses val="autoZero"/>
        <c:crossBetween val="midCat"/>
      </c:valAx>
      <c:valAx>
        <c:axId val="128384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3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</a:t>
            </a:r>
            <a:r>
              <a:rPr lang="en-CA" baseline="0"/>
              <a:t> = VE</a:t>
            </a:r>
            <a:r>
              <a:rPr lang="en-CA"/>
              <a:t> = 5 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6814969547917842"/>
                  <c:y val="-0.122126549818518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2.8'!$E$2:$E$11</c:f>
              <c:numCache>
                <c:formatCode>0.00</c:formatCode>
                <c:ptCount val="10"/>
                <c:pt idx="0">
                  <c:v>7.6767400000000006</c:v>
                </c:pt>
                <c:pt idx="1">
                  <c:v>7.19672</c:v>
                </c:pt>
                <c:pt idx="2">
                  <c:v>6.7218999999999998</c:v>
                </c:pt>
                <c:pt idx="3">
                  <c:v>6.2477</c:v>
                </c:pt>
                <c:pt idx="4">
                  <c:v>5.7742199999999997</c:v>
                </c:pt>
                <c:pt idx="5">
                  <c:v>5.3027199999999999</c:v>
                </c:pt>
                <c:pt idx="6">
                  <c:v>4.8390399999999998</c:v>
                </c:pt>
                <c:pt idx="7">
                  <c:v>4.3685799999999997</c:v>
                </c:pt>
                <c:pt idx="8">
                  <c:v>3.8994400000000002</c:v>
                </c:pt>
                <c:pt idx="9">
                  <c:v>3.4320599999999999</c:v>
                </c:pt>
              </c:numCache>
            </c:numRef>
          </c:xVal>
          <c:yVal>
            <c:numRef>
              <c:f>'Step 2.8'!$I$2:$I$11</c:f>
              <c:numCache>
                <c:formatCode>0.00E+00</c:formatCode>
                <c:ptCount val="10"/>
                <c:pt idx="0">
                  <c:v>2.3232599999999999E-2</c:v>
                </c:pt>
                <c:pt idx="1">
                  <c:v>2.3032799999999999E-2</c:v>
                </c:pt>
                <c:pt idx="2">
                  <c:v>2.2781000000000003E-2</c:v>
                </c:pt>
                <c:pt idx="3">
                  <c:v>2.2523000000000001E-2</c:v>
                </c:pt>
                <c:pt idx="4">
                  <c:v>2.2257799999999998E-2</c:v>
                </c:pt>
                <c:pt idx="5">
                  <c:v>2.1972800000000001E-2</c:v>
                </c:pt>
                <c:pt idx="6">
                  <c:v>2.1609600000000003E-2</c:v>
                </c:pt>
                <c:pt idx="7">
                  <c:v>2.1314199999999998E-2</c:v>
                </c:pt>
                <c:pt idx="8">
                  <c:v>2.1005599999999999E-2</c:v>
                </c:pt>
                <c:pt idx="9">
                  <c:v>2.0679400000000001E-2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19-4170-9C86-F5476FE84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8223"/>
        <c:axId val="1778969055"/>
      </c:scatterChart>
      <c:valAx>
        <c:axId val="1778968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9055"/>
        <c:crosses val="autoZero"/>
        <c:crossBetween val="midCat"/>
      </c:valAx>
      <c:valAx>
        <c:axId val="177896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8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</a:t>
            </a:r>
            <a:r>
              <a:rPr lang="en-CA" sz="1400" b="0" i="0" u="none" strike="noStrike" baseline="0">
                <a:effectLst/>
              </a:rPr>
              <a:t>+ = VE</a:t>
            </a:r>
            <a:r>
              <a:rPr lang="en-CA"/>
              <a:t> = 3.5V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1107089392071411"/>
                  <c:y val="-0.128877602876480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2.8'!$E$12:$E$21</c:f>
              <c:numCache>
                <c:formatCode>0.00</c:formatCode>
                <c:ptCount val="10"/>
                <c:pt idx="0">
                  <c:v>7.4428800000000006</c:v>
                </c:pt>
                <c:pt idx="1">
                  <c:v>6.9664400000000004</c:v>
                </c:pt>
                <c:pt idx="2">
                  <c:v>6.4882400000000002</c:v>
                </c:pt>
                <c:pt idx="3">
                  <c:v>6.0162800000000001</c:v>
                </c:pt>
                <c:pt idx="4">
                  <c:v>5.5404999999999998</c:v>
                </c:pt>
                <c:pt idx="5">
                  <c:v>5.06698</c:v>
                </c:pt>
                <c:pt idx="6">
                  <c:v>4.59274</c:v>
                </c:pt>
                <c:pt idx="7">
                  <c:v>4.1301600000000001</c:v>
                </c:pt>
                <c:pt idx="8">
                  <c:v>3.65774</c:v>
                </c:pt>
                <c:pt idx="9">
                  <c:v>3.1887600000000003</c:v>
                </c:pt>
              </c:numCache>
            </c:numRef>
          </c:xVal>
          <c:yVal>
            <c:numRef>
              <c:f>'Step 2.8'!$I$12:$I$21</c:f>
              <c:numCache>
                <c:formatCode>0.00E+00</c:formatCode>
                <c:ptCount val="10"/>
                <c:pt idx="0">
                  <c:v>2.0571199999999998E-2</c:v>
                </c:pt>
                <c:pt idx="1">
                  <c:v>2.0335599999999999E-2</c:v>
                </c:pt>
                <c:pt idx="2">
                  <c:v>2.0117599999999999E-2</c:v>
                </c:pt>
                <c:pt idx="3">
                  <c:v>1.9837199999999999E-2</c:v>
                </c:pt>
                <c:pt idx="4">
                  <c:v>1.9595000000000001E-2</c:v>
                </c:pt>
                <c:pt idx="5">
                  <c:v>1.9330199999999999E-2</c:v>
                </c:pt>
                <c:pt idx="6">
                  <c:v>1.9072600000000002E-2</c:v>
                </c:pt>
                <c:pt idx="7">
                  <c:v>1.86984E-2</c:v>
                </c:pt>
                <c:pt idx="8">
                  <c:v>1.8422600000000001E-2</c:v>
                </c:pt>
                <c:pt idx="9">
                  <c:v>1.8112400000000001E-2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C2-4BD7-87F0-B2FD56F27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3135"/>
        <c:axId val="1283855631"/>
      </c:scatterChart>
      <c:valAx>
        <c:axId val="1283853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5631"/>
        <c:crosses val="autoZero"/>
        <c:crossBetween val="midCat"/>
      </c:valAx>
      <c:valAx>
        <c:axId val="128385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3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</a:t>
            </a:r>
            <a:r>
              <a:rPr lang="en-CA" sz="1400" b="0" i="0" u="none" strike="noStrike" baseline="0">
                <a:effectLst/>
              </a:rPr>
              <a:t>+ = VE</a:t>
            </a:r>
            <a:r>
              <a:rPr lang="en-CA"/>
              <a:t> = 2.5V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3389760196080662"/>
                  <c:y val="-0.114218850480834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Lit>
              <c:formatCode>General</c:formatCode>
              <c:ptCount val="10"/>
              <c:pt idx="0">
                <c:v>2.5</c:v>
              </c:pt>
              <c:pt idx="1">
                <c:v>2.5</c:v>
              </c:pt>
              <c:pt idx="2">
                <c:v>2.5</c:v>
              </c:pt>
              <c:pt idx="3">
                <c:v>2.5</c:v>
              </c:pt>
              <c:pt idx="4">
                <c:v>2.5</c:v>
              </c:pt>
              <c:pt idx="5">
                <c:v>2.5</c:v>
              </c:pt>
              <c:pt idx="6">
                <c:v>2.5</c:v>
              </c:pt>
              <c:pt idx="7">
                <c:v>2.5</c:v>
              </c:pt>
              <c:pt idx="8">
                <c:v>2.5</c:v>
              </c:pt>
              <c:pt idx="9">
                <c:v>2.5</c:v>
              </c:pt>
            </c:numLit>
          </c:xVal>
          <c:yVal>
            <c:numLit>
              <c:formatCode>General</c:formatCode>
              <c:ptCount val="10"/>
              <c:pt idx="0">
                <c:v>0.05</c:v>
              </c:pt>
              <c:pt idx="1">
                <c:v>4.4999999999999998E-2</c:v>
              </c:pt>
              <c:pt idx="2">
                <c:v>0.04</c:v>
              </c:pt>
              <c:pt idx="3">
                <c:v>3.5000000000000003E-2</c:v>
              </c:pt>
              <c:pt idx="4">
                <c:v>0.03</c:v>
              </c:pt>
              <c:pt idx="5">
                <c:v>2.5000000000000001E-2</c:v>
              </c:pt>
              <c:pt idx="6">
                <c:v>0.02</c:v>
              </c:pt>
              <c:pt idx="7">
                <c:v>1.4999999999999999E-2</c:v>
              </c:pt>
              <c:pt idx="8">
                <c:v>0.01</c:v>
              </c:pt>
              <c:pt idx="9">
                <c:v>5.0000000000000001E-3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2A8-4137-8C8A-F18C1C965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4063"/>
        <c:axId val="1778954495"/>
      </c:scatterChart>
      <c:valAx>
        <c:axId val="1778964063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4495"/>
        <c:crosses val="autoZero"/>
        <c:crossBetween val="midCat"/>
      </c:valAx>
      <c:valAx>
        <c:axId val="177895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4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</a:t>
            </a:r>
            <a:r>
              <a:rPr lang="en-CA" sz="1400" b="0" i="0" u="none" strike="noStrike" baseline="0">
                <a:effectLst/>
              </a:rPr>
              <a:t>+ = VE</a:t>
            </a:r>
            <a:r>
              <a:rPr lang="en-CA"/>
              <a:t> = 2V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3892062877545585"/>
                  <c:y val="-0.122748058811869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2.8'!$E$22:$E$31</c:f>
              <c:numCache>
                <c:formatCode>0.00</c:formatCode>
                <c:ptCount val="10"/>
                <c:pt idx="0">
                  <c:v>7.2239599999999902</c:v>
                </c:pt>
                <c:pt idx="1">
                  <c:v>6.7433799999999895</c:v>
                </c:pt>
                <c:pt idx="2">
                  <c:v>6.2638999999999996</c:v>
                </c:pt>
                <c:pt idx="3">
                  <c:v>5.7877200000000002</c:v>
                </c:pt>
                <c:pt idx="4">
                  <c:v>5.3109799999999998</c:v>
                </c:pt>
                <c:pt idx="5">
                  <c:v>4.8342600000000004</c:v>
                </c:pt>
                <c:pt idx="6">
                  <c:v>4.357079999999999</c:v>
                </c:pt>
                <c:pt idx="7">
                  <c:v>3.8908399999999999</c:v>
                </c:pt>
                <c:pt idx="8">
                  <c:v>3.4141399999999997</c:v>
                </c:pt>
                <c:pt idx="9">
                  <c:v>2.9417200000000001</c:v>
                </c:pt>
              </c:numCache>
            </c:numRef>
          </c:xVal>
          <c:yVal>
            <c:numRef>
              <c:f>'Step 2.8'!$I$22:$I$31</c:f>
              <c:numCache>
                <c:formatCode>0.00E+00</c:formatCode>
                <c:ptCount val="10"/>
                <c:pt idx="0">
                  <c:v>1.77604000000001E-2</c:v>
                </c:pt>
                <c:pt idx="1">
                  <c:v>1.7566200000000101E-2</c:v>
                </c:pt>
                <c:pt idx="2">
                  <c:v>1.7361000000000001E-2</c:v>
                </c:pt>
                <c:pt idx="3">
                  <c:v>1.7122800000000001E-2</c:v>
                </c:pt>
                <c:pt idx="4">
                  <c:v>1.6890200000000001E-2</c:v>
                </c:pt>
                <c:pt idx="5">
                  <c:v>1.6657399999999999E-2</c:v>
                </c:pt>
                <c:pt idx="6">
                  <c:v>1.6429200000000012E-2</c:v>
                </c:pt>
                <c:pt idx="7">
                  <c:v>1.6091599999999998E-2</c:v>
                </c:pt>
                <c:pt idx="8">
                  <c:v>1.58586E-2</c:v>
                </c:pt>
                <c:pt idx="9">
                  <c:v>1.5582800000000001E-2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11-4109-8521-675510099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004511"/>
        <c:axId val="1777005343"/>
      </c:scatterChart>
      <c:valAx>
        <c:axId val="1777004511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5343"/>
        <c:crosses val="autoZero"/>
        <c:crossBetween val="midCat"/>
      </c:valAx>
      <c:valAx>
        <c:axId val="177700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4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</a:t>
            </a:r>
            <a:r>
              <a:rPr lang="en-CA" baseline="0"/>
              <a:t> = VE</a:t>
            </a:r>
            <a:r>
              <a:rPr lang="en-CA"/>
              <a:t> = 5 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6814969547917842"/>
                  <c:y val="-0.122126549818518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2.8'!$E$2:$E$11</c:f>
              <c:numCache>
                <c:formatCode>0.00</c:formatCode>
                <c:ptCount val="10"/>
                <c:pt idx="0">
                  <c:v>7.6767400000000006</c:v>
                </c:pt>
                <c:pt idx="1">
                  <c:v>7.19672</c:v>
                </c:pt>
                <c:pt idx="2">
                  <c:v>6.7218999999999998</c:v>
                </c:pt>
                <c:pt idx="3">
                  <c:v>6.2477</c:v>
                </c:pt>
                <c:pt idx="4">
                  <c:v>5.7742199999999997</c:v>
                </c:pt>
                <c:pt idx="5">
                  <c:v>5.3027199999999999</c:v>
                </c:pt>
                <c:pt idx="6">
                  <c:v>4.8390399999999998</c:v>
                </c:pt>
                <c:pt idx="7">
                  <c:v>4.3685799999999997</c:v>
                </c:pt>
                <c:pt idx="8">
                  <c:v>3.8994400000000002</c:v>
                </c:pt>
                <c:pt idx="9">
                  <c:v>3.4320599999999999</c:v>
                </c:pt>
              </c:numCache>
            </c:numRef>
          </c:xVal>
          <c:yVal>
            <c:numRef>
              <c:f>'Step 2.8'!$I$2:$I$11</c:f>
              <c:numCache>
                <c:formatCode>0.00E+00</c:formatCode>
                <c:ptCount val="10"/>
                <c:pt idx="0">
                  <c:v>2.3232599999999999E-2</c:v>
                </c:pt>
                <c:pt idx="1">
                  <c:v>2.3032799999999999E-2</c:v>
                </c:pt>
                <c:pt idx="2">
                  <c:v>2.2781000000000003E-2</c:v>
                </c:pt>
                <c:pt idx="3">
                  <c:v>2.2523000000000001E-2</c:v>
                </c:pt>
                <c:pt idx="4">
                  <c:v>2.2257799999999998E-2</c:v>
                </c:pt>
                <c:pt idx="5">
                  <c:v>2.1972800000000001E-2</c:v>
                </c:pt>
                <c:pt idx="6">
                  <c:v>2.1609600000000003E-2</c:v>
                </c:pt>
                <c:pt idx="7">
                  <c:v>2.1314199999999998E-2</c:v>
                </c:pt>
                <c:pt idx="8">
                  <c:v>2.1005599999999999E-2</c:v>
                </c:pt>
                <c:pt idx="9">
                  <c:v>2.0679400000000001E-2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2A-48EB-BAB4-9C841D4CA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8223"/>
        <c:axId val="1778969055"/>
      </c:scatterChart>
      <c:valAx>
        <c:axId val="1778968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9055"/>
        <c:crosses val="autoZero"/>
        <c:crossBetween val="midCat"/>
      </c:valAx>
      <c:valAx>
        <c:axId val="177896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8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</a:t>
            </a:r>
            <a:r>
              <a:rPr lang="en-CA" sz="1400" b="0" i="0" u="none" strike="noStrike" baseline="0">
                <a:effectLst/>
              </a:rPr>
              <a:t>+ = VE</a:t>
            </a:r>
            <a:r>
              <a:rPr lang="en-CA" baseline="0"/>
              <a:t> = 4.5V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8516079295464239"/>
                  <c:y val="-0.113649180552770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2.8'!$E$12:$E$21</c:f>
              <c:numCache>
                <c:formatCode>0.00</c:formatCode>
                <c:ptCount val="10"/>
                <c:pt idx="0">
                  <c:v>7.4428800000000006</c:v>
                </c:pt>
                <c:pt idx="1">
                  <c:v>6.9664400000000004</c:v>
                </c:pt>
                <c:pt idx="2">
                  <c:v>6.4882400000000002</c:v>
                </c:pt>
                <c:pt idx="3">
                  <c:v>6.0162800000000001</c:v>
                </c:pt>
                <c:pt idx="4">
                  <c:v>5.5404999999999998</c:v>
                </c:pt>
                <c:pt idx="5">
                  <c:v>5.06698</c:v>
                </c:pt>
                <c:pt idx="6">
                  <c:v>4.59274</c:v>
                </c:pt>
                <c:pt idx="7">
                  <c:v>4.1301600000000001</c:v>
                </c:pt>
                <c:pt idx="8">
                  <c:v>3.65774</c:v>
                </c:pt>
                <c:pt idx="9">
                  <c:v>3.1887600000000003</c:v>
                </c:pt>
              </c:numCache>
            </c:numRef>
          </c:xVal>
          <c:yVal>
            <c:numRef>
              <c:f>'Step 2.8'!$I$12:$I$21</c:f>
              <c:numCache>
                <c:formatCode>0.00E+00</c:formatCode>
                <c:ptCount val="10"/>
                <c:pt idx="0">
                  <c:v>2.0571199999999998E-2</c:v>
                </c:pt>
                <c:pt idx="1">
                  <c:v>2.0335599999999999E-2</c:v>
                </c:pt>
                <c:pt idx="2">
                  <c:v>2.0117599999999999E-2</c:v>
                </c:pt>
                <c:pt idx="3">
                  <c:v>1.9837199999999999E-2</c:v>
                </c:pt>
                <c:pt idx="4">
                  <c:v>1.9595000000000001E-2</c:v>
                </c:pt>
                <c:pt idx="5">
                  <c:v>1.9330199999999999E-2</c:v>
                </c:pt>
                <c:pt idx="6">
                  <c:v>1.9072600000000002E-2</c:v>
                </c:pt>
                <c:pt idx="7">
                  <c:v>1.86984E-2</c:v>
                </c:pt>
                <c:pt idx="8">
                  <c:v>1.8422600000000001E-2</c:v>
                </c:pt>
                <c:pt idx="9">
                  <c:v>1.8112400000000001E-2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0B-4095-B5B6-1F041CA31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2719"/>
        <c:axId val="1283846895"/>
      </c:scatterChart>
      <c:valAx>
        <c:axId val="1283852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6895"/>
        <c:crosses val="autoZero"/>
        <c:crossBetween val="midCat"/>
      </c:valAx>
      <c:valAx>
        <c:axId val="128384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2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</a:t>
            </a:r>
            <a:r>
              <a:rPr lang="en-CA" sz="1400" b="0" i="0" u="none" strike="noStrike" baseline="0">
                <a:effectLst/>
              </a:rPr>
              <a:t> = VE </a:t>
            </a:r>
            <a:r>
              <a:rPr lang="en-CA"/>
              <a:t>= 4V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9322999754445437"/>
                  <c:y val="-0.134945388327049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2.8'!$E$22:$E$31</c:f>
              <c:numCache>
                <c:formatCode>0.00</c:formatCode>
                <c:ptCount val="10"/>
                <c:pt idx="0">
                  <c:v>7.2239599999999902</c:v>
                </c:pt>
                <c:pt idx="1">
                  <c:v>6.7433799999999895</c:v>
                </c:pt>
                <c:pt idx="2">
                  <c:v>6.2638999999999996</c:v>
                </c:pt>
                <c:pt idx="3">
                  <c:v>5.7877200000000002</c:v>
                </c:pt>
                <c:pt idx="4">
                  <c:v>5.3109799999999998</c:v>
                </c:pt>
                <c:pt idx="5">
                  <c:v>4.8342600000000004</c:v>
                </c:pt>
                <c:pt idx="6">
                  <c:v>4.357079999999999</c:v>
                </c:pt>
                <c:pt idx="7">
                  <c:v>3.8908399999999999</c:v>
                </c:pt>
                <c:pt idx="8">
                  <c:v>3.4141399999999997</c:v>
                </c:pt>
                <c:pt idx="9">
                  <c:v>2.9417200000000001</c:v>
                </c:pt>
              </c:numCache>
            </c:numRef>
          </c:xVal>
          <c:yVal>
            <c:numRef>
              <c:f>'Step 2.8'!$I$22:$I$31</c:f>
              <c:numCache>
                <c:formatCode>0.00E+00</c:formatCode>
                <c:ptCount val="10"/>
                <c:pt idx="0">
                  <c:v>1.77604000000001E-2</c:v>
                </c:pt>
                <c:pt idx="1">
                  <c:v>1.7566200000000101E-2</c:v>
                </c:pt>
                <c:pt idx="2">
                  <c:v>1.7361000000000001E-2</c:v>
                </c:pt>
                <c:pt idx="3">
                  <c:v>1.7122800000000001E-2</c:v>
                </c:pt>
                <c:pt idx="4">
                  <c:v>1.6890200000000001E-2</c:v>
                </c:pt>
                <c:pt idx="5">
                  <c:v>1.6657399999999999E-2</c:v>
                </c:pt>
                <c:pt idx="6">
                  <c:v>1.6429200000000012E-2</c:v>
                </c:pt>
                <c:pt idx="7">
                  <c:v>1.6091599999999998E-2</c:v>
                </c:pt>
                <c:pt idx="8">
                  <c:v>1.58586E-2</c:v>
                </c:pt>
                <c:pt idx="9">
                  <c:v>1.5582800000000001E-2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FC-4076-9C7B-D7511D611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46063"/>
        <c:axId val="1283856047"/>
      </c:scatterChart>
      <c:valAx>
        <c:axId val="1283846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6047"/>
        <c:crosses val="autoZero"/>
        <c:crossBetween val="midCat"/>
      </c:valAx>
      <c:valAx>
        <c:axId val="128385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</a:t>
            </a:r>
            <a:r>
              <a:rPr lang="en-CA" sz="1400" b="0" i="0" u="none" strike="noStrike" baseline="0">
                <a:effectLst/>
              </a:rPr>
              <a:t>+ = VE</a:t>
            </a:r>
            <a:r>
              <a:rPr lang="en-CA"/>
              <a:t> = 3.5V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1107089392071411"/>
                  <c:y val="-0.128877602876480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2.8'!$E$32:$E$41</c:f>
              <c:numCache>
                <c:formatCode>0.00</c:formatCode>
                <c:ptCount val="10"/>
                <c:pt idx="0">
                  <c:v>6.9994399999999999</c:v>
                </c:pt>
                <c:pt idx="1">
                  <c:v>6.5146800000000002</c:v>
                </c:pt>
                <c:pt idx="2">
                  <c:v>6.0329800000000002</c:v>
                </c:pt>
                <c:pt idx="3">
                  <c:v>5.5505399999999998</c:v>
                </c:pt>
                <c:pt idx="4">
                  <c:v>5.0731799999999998</c:v>
                </c:pt>
                <c:pt idx="5">
                  <c:v>4.5934400000000002</c:v>
                </c:pt>
                <c:pt idx="6">
                  <c:v>4.1155600000000003</c:v>
                </c:pt>
                <c:pt idx="7">
                  <c:v>3.6355399999999998</c:v>
                </c:pt>
                <c:pt idx="8">
                  <c:v>3.16594</c:v>
                </c:pt>
                <c:pt idx="9">
                  <c:v>2.6878199999999999</c:v>
                </c:pt>
              </c:numCache>
            </c:numRef>
          </c:xVal>
          <c:yVal>
            <c:numRef>
              <c:f>'Step 2.8'!$I$32:$I$41</c:f>
              <c:numCache>
                <c:formatCode>0.00E+00</c:formatCode>
                <c:ptCount val="10"/>
                <c:pt idx="0">
                  <c:v>1.5005600000000001E-2</c:v>
                </c:pt>
                <c:pt idx="1">
                  <c:v>1.4853200000000002E-2</c:v>
                </c:pt>
                <c:pt idx="2">
                  <c:v>1.4670200000000001E-2</c:v>
                </c:pt>
                <c:pt idx="3">
                  <c:v>1.4494600000000002E-2</c:v>
                </c:pt>
                <c:pt idx="4">
                  <c:v>1.42682E-2</c:v>
                </c:pt>
                <c:pt idx="5">
                  <c:v>1.4065600000000001E-2</c:v>
                </c:pt>
                <c:pt idx="6">
                  <c:v>1.3844400000000001E-2</c:v>
                </c:pt>
                <c:pt idx="7">
                  <c:v>1.36446E-2</c:v>
                </c:pt>
                <c:pt idx="8">
                  <c:v>1.3340600000000001E-2</c:v>
                </c:pt>
                <c:pt idx="9">
                  <c:v>1.3121800000000001E-2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70-460C-8BDE-8F2C68B30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3135"/>
        <c:axId val="1283855631"/>
      </c:scatterChart>
      <c:valAx>
        <c:axId val="1283853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5631"/>
        <c:crosses val="autoZero"/>
        <c:crossBetween val="midCat"/>
      </c:valAx>
      <c:valAx>
        <c:axId val="128385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3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</a:t>
            </a:r>
            <a:r>
              <a:rPr lang="en-CA" sz="1400" b="0" i="0" u="none" strike="noStrike" baseline="0">
                <a:effectLst/>
              </a:rPr>
              <a:t>+ = VE</a:t>
            </a:r>
            <a:r>
              <a:rPr lang="en-CA"/>
              <a:t> = 3V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2576964652256821"/>
                  <c:y val="-0.167976853425728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2.8'!$E$42:$E$51</c:f>
              <c:numCache>
                <c:formatCode>0.00</c:formatCode>
                <c:ptCount val="10"/>
                <c:pt idx="0">
                  <c:v>6.76938</c:v>
                </c:pt>
                <c:pt idx="1">
                  <c:v>6.28362</c:v>
                </c:pt>
                <c:pt idx="2">
                  <c:v>5.79528</c:v>
                </c:pt>
                <c:pt idx="3">
                  <c:v>5.3092800000000002</c:v>
                </c:pt>
                <c:pt idx="4">
                  <c:v>4.8298399999999999</c:v>
                </c:pt>
                <c:pt idx="5">
                  <c:v>4.3456000000000001</c:v>
                </c:pt>
                <c:pt idx="6">
                  <c:v>3.8635399999999991</c:v>
                </c:pt>
                <c:pt idx="7">
                  <c:v>3.3808199999999999</c:v>
                </c:pt>
                <c:pt idx="8">
                  <c:v>2.90794</c:v>
                </c:pt>
                <c:pt idx="9">
                  <c:v>2.4266399999999999</c:v>
                </c:pt>
              </c:numCache>
            </c:numRef>
          </c:xVal>
          <c:yVal>
            <c:numRef>
              <c:f>'Step 2.8'!$I$42:$I$51</c:f>
              <c:numCache>
                <c:formatCode>0.00E+00</c:formatCode>
                <c:ptCount val="10"/>
                <c:pt idx="0">
                  <c:v>1.23062E-2</c:v>
                </c:pt>
                <c:pt idx="1">
                  <c:v>1.2163800000000001E-2</c:v>
                </c:pt>
                <c:pt idx="2">
                  <c:v>1.2047200000000001E-2</c:v>
                </c:pt>
                <c:pt idx="3">
                  <c:v>1.1907199999999998E-2</c:v>
                </c:pt>
                <c:pt idx="4">
                  <c:v>1.1701600000000001E-2</c:v>
                </c:pt>
                <c:pt idx="5">
                  <c:v>1.1544E-2</c:v>
                </c:pt>
                <c:pt idx="6">
                  <c:v>1.1364600000000009E-2</c:v>
                </c:pt>
                <c:pt idx="7">
                  <c:v>1.11918E-2</c:v>
                </c:pt>
                <c:pt idx="8">
                  <c:v>1.0920600000000001E-2</c:v>
                </c:pt>
                <c:pt idx="9">
                  <c:v>1.0733600000000001E-2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14-48D6-A6F0-FCC178FB6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53663"/>
        <c:axId val="1778956991"/>
      </c:scatterChart>
      <c:valAx>
        <c:axId val="1778953663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6991"/>
        <c:crosses val="autoZero"/>
        <c:crossBetween val="midCat"/>
      </c:valAx>
      <c:valAx>
        <c:axId val="177895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3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</a:t>
            </a:r>
            <a:r>
              <a:rPr lang="en-CA" sz="1400" b="0" i="0" u="none" strike="noStrike" baseline="0">
                <a:effectLst/>
              </a:rPr>
              <a:t>+ = VE</a:t>
            </a:r>
            <a:r>
              <a:rPr lang="en-CA"/>
              <a:t> = 2.5V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3389760196080662"/>
                  <c:y val="-0.114218850480834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2.8'!$E$52:$E$61</c:f>
              <c:numCache>
                <c:formatCode>0.00</c:formatCode>
                <c:ptCount val="10"/>
                <c:pt idx="0">
                  <c:v>6.5274599999999996</c:v>
                </c:pt>
                <c:pt idx="1">
                  <c:v>6.0420800000000003</c:v>
                </c:pt>
                <c:pt idx="2">
                  <c:v>5.5531799999999993</c:v>
                </c:pt>
                <c:pt idx="3">
                  <c:v>5.0659000000000001</c:v>
                </c:pt>
                <c:pt idx="4">
                  <c:v>4.5779999999999994</c:v>
                </c:pt>
                <c:pt idx="5">
                  <c:v>4.0949799999999996</c:v>
                </c:pt>
                <c:pt idx="6">
                  <c:v>3.6084399999999901</c:v>
                </c:pt>
                <c:pt idx="7">
                  <c:v>3.12392</c:v>
                </c:pt>
                <c:pt idx="8">
                  <c:v>2.6383200000000002</c:v>
                </c:pt>
                <c:pt idx="9">
                  <c:v>2.1635800000000001</c:v>
                </c:pt>
              </c:numCache>
            </c:numRef>
          </c:xVal>
          <c:yVal>
            <c:numRef>
              <c:f>'Step 2.8'!$I$52:$I$61</c:f>
              <c:numCache>
                <c:formatCode>0.00E+00</c:formatCode>
                <c:ptCount val="10"/>
                <c:pt idx="0">
                  <c:v>9.7254000000000038E-3</c:v>
                </c:pt>
                <c:pt idx="1">
                  <c:v>9.5792000000000013E-3</c:v>
                </c:pt>
                <c:pt idx="2">
                  <c:v>9.468200000000003E-3</c:v>
                </c:pt>
                <c:pt idx="3">
                  <c:v>9.3409999999999986E-3</c:v>
                </c:pt>
                <c:pt idx="4">
                  <c:v>9.2200000000000008E-3</c:v>
                </c:pt>
                <c:pt idx="5">
                  <c:v>9.0501999999999996E-3</c:v>
                </c:pt>
                <c:pt idx="6">
                  <c:v>8.9156000000000998E-3</c:v>
                </c:pt>
                <c:pt idx="7">
                  <c:v>8.7607999999999991E-3</c:v>
                </c:pt>
                <c:pt idx="8">
                  <c:v>8.6168000000000008E-3</c:v>
                </c:pt>
                <c:pt idx="9">
                  <c:v>8.3641999999999987E-3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4C-43B1-B9A5-1E1C9248A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4063"/>
        <c:axId val="1778954495"/>
      </c:scatterChart>
      <c:valAx>
        <c:axId val="1778964063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4495"/>
        <c:crosses val="autoZero"/>
        <c:crossBetween val="midCat"/>
      </c:valAx>
      <c:valAx>
        <c:axId val="177895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4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</a:t>
            </a:r>
            <a:r>
              <a:rPr lang="en-CA" sz="1400" b="0" i="0" u="none" strike="noStrike" baseline="0">
                <a:effectLst/>
              </a:rPr>
              <a:t>+ = VE</a:t>
            </a:r>
            <a:r>
              <a:rPr lang="en-CA"/>
              <a:t> = 2V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3892062877545585"/>
                  <c:y val="-0.122748058811869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2.8'!$E$62:$E$71</c:f>
              <c:numCache>
                <c:formatCode>0.00</c:formatCode>
                <c:ptCount val="10"/>
                <c:pt idx="0">
                  <c:v>6.2840400000000001</c:v>
                </c:pt>
                <c:pt idx="1">
                  <c:v>5.7920400000000001</c:v>
                </c:pt>
                <c:pt idx="2">
                  <c:v>5.3035600000000001</c:v>
                </c:pt>
                <c:pt idx="3">
                  <c:v>4.8097200000000004</c:v>
                </c:pt>
                <c:pt idx="4">
                  <c:v>4.3163</c:v>
                </c:pt>
                <c:pt idx="5">
                  <c:v>3.8304999999999998</c:v>
                </c:pt>
                <c:pt idx="6">
                  <c:v>3.3402400000000001</c:v>
                </c:pt>
                <c:pt idx="7">
                  <c:v>2.8523799999999992</c:v>
                </c:pt>
                <c:pt idx="8">
                  <c:v>2.36246</c:v>
                </c:pt>
                <c:pt idx="9">
                  <c:v>1.8890199999999999</c:v>
                </c:pt>
              </c:numCache>
            </c:numRef>
          </c:xVal>
          <c:yVal>
            <c:numRef>
              <c:f>'Step 2.8'!$I$62:$I$71</c:f>
              <c:numCache>
                <c:formatCode>0.00E+00</c:formatCode>
                <c:ptCount val="10"/>
                <c:pt idx="0">
                  <c:v>7.1595999999999995E-3</c:v>
                </c:pt>
                <c:pt idx="1">
                  <c:v>7.0795999999999993E-3</c:v>
                </c:pt>
                <c:pt idx="2">
                  <c:v>6.9643999999999991E-3</c:v>
                </c:pt>
                <c:pt idx="3">
                  <c:v>6.9027999999999997E-3</c:v>
                </c:pt>
                <c:pt idx="4">
                  <c:v>6.8369999999999993E-3</c:v>
                </c:pt>
                <c:pt idx="5">
                  <c:v>6.6949999999999996E-3</c:v>
                </c:pt>
                <c:pt idx="6">
                  <c:v>6.5975999999999986E-3</c:v>
                </c:pt>
                <c:pt idx="7">
                  <c:v>6.4762000000000101E-3</c:v>
                </c:pt>
                <c:pt idx="8">
                  <c:v>6.3753999999999998E-3</c:v>
                </c:pt>
                <c:pt idx="9">
                  <c:v>6.1097999999999994E-3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A2-4D30-A385-1F2FE484D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004511"/>
        <c:axId val="1777005343"/>
      </c:scatterChart>
      <c:valAx>
        <c:axId val="1777004511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5343"/>
        <c:crosses val="autoZero"/>
        <c:crossBetween val="midCat"/>
      </c:valAx>
      <c:valAx>
        <c:axId val="177700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4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</a:t>
            </a:r>
            <a:r>
              <a:rPr lang="en-CA" sz="1400" b="0" i="0" u="none" strike="noStrike" baseline="0">
                <a:effectLst/>
              </a:rPr>
              <a:t>+ = VE</a:t>
            </a:r>
            <a:r>
              <a:rPr lang="en-CA"/>
              <a:t> = 1.5V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6209824373455449"/>
                  <c:y val="-0.114794260154767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2.8'!$E$72:$E$81</c:f>
              <c:numCache>
                <c:formatCode>0.00</c:formatCode>
                <c:ptCount val="10"/>
                <c:pt idx="0">
                  <c:v>6.0319799999999999</c:v>
                </c:pt>
                <c:pt idx="1">
                  <c:v>5.5380000000000003</c:v>
                </c:pt>
                <c:pt idx="2">
                  <c:v>5.04605999999999</c:v>
                </c:pt>
                <c:pt idx="3">
                  <c:v>4.5520399999999999</c:v>
                </c:pt>
                <c:pt idx="4">
                  <c:v>4.0584599999999895</c:v>
                </c:pt>
                <c:pt idx="5">
                  <c:v>3.5653800000000002</c:v>
                </c:pt>
                <c:pt idx="6">
                  <c:v>3.0758999999999999</c:v>
                </c:pt>
                <c:pt idx="7">
                  <c:v>2.5849000000000002</c:v>
                </c:pt>
                <c:pt idx="8">
                  <c:v>2.0919600000000003</c:v>
                </c:pt>
                <c:pt idx="9">
                  <c:v>1.59822</c:v>
                </c:pt>
              </c:numCache>
            </c:numRef>
          </c:xVal>
          <c:yVal>
            <c:numRef>
              <c:f>'Step 2.8'!$I$72:$I$81</c:f>
              <c:numCache>
                <c:formatCode>0.00E+00</c:formatCode>
                <c:ptCount val="10"/>
                <c:pt idx="0">
                  <c:v>4.6802000000000007E-3</c:v>
                </c:pt>
                <c:pt idx="1">
                  <c:v>4.6199999999999974E-3</c:v>
                </c:pt>
                <c:pt idx="2">
                  <c:v>4.5394000000000996E-3</c:v>
                </c:pt>
                <c:pt idx="3">
                  <c:v>4.4796000000000011E-3</c:v>
                </c:pt>
                <c:pt idx="4">
                  <c:v>4.4154000000001005E-3</c:v>
                </c:pt>
                <c:pt idx="5">
                  <c:v>4.346199999999998E-3</c:v>
                </c:pt>
                <c:pt idx="6">
                  <c:v>4.2409999999999991E-3</c:v>
                </c:pt>
                <c:pt idx="7">
                  <c:v>4.1510000000000002E-3</c:v>
                </c:pt>
                <c:pt idx="8">
                  <c:v>4.0803999999999997E-3</c:v>
                </c:pt>
                <c:pt idx="9">
                  <c:v>4.0178000000000002E-3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2B-4C8C-932F-A06D1CC06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6463"/>
        <c:axId val="1283841903"/>
      </c:scatterChart>
      <c:valAx>
        <c:axId val="1283856463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1903"/>
        <c:crosses val="autoZero"/>
        <c:crossBetween val="midCat"/>
      </c:valAx>
      <c:valAx>
        <c:axId val="128384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6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</a:t>
            </a:r>
            <a:r>
              <a:rPr lang="en-CA" sz="1400" b="0" i="0" u="none" strike="noStrike" baseline="0">
                <a:effectLst/>
              </a:rPr>
              <a:t>+ = VE</a:t>
            </a:r>
            <a:r>
              <a:rPr lang="en-CA"/>
              <a:t> = 1V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8181197439010454"/>
                  <c:y val="-0.114794260154767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2.8'!$E$82:$E$91</c:f>
              <c:numCache>
                <c:formatCode>0.00</c:formatCode>
                <c:ptCount val="10"/>
                <c:pt idx="0">
                  <c:v>5.7680600000000002</c:v>
                </c:pt>
                <c:pt idx="1">
                  <c:v>5.27142</c:v>
                </c:pt>
                <c:pt idx="2">
                  <c:v>4.77494</c:v>
                </c:pt>
                <c:pt idx="3">
                  <c:v>4.2783800000000003</c:v>
                </c:pt>
                <c:pt idx="4">
                  <c:v>3.7766199999999999</c:v>
                </c:pt>
                <c:pt idx="5">
                  <c:v>3.2810999999999999</c:v>
                </c:pt>
                <c:pt idx="6">
                  <c:v>2.7883399999999998</c:v>
                </c:pt>
                <c:pt idx="7">
                  <c:v>2.2932800000000002</c:v>
                </c:pt>
                <c:pt idx="8">
                  <c:v>1.7972000000000001</c:v>
                </c:pt>
                <c:pt idx="9">
                  <c:v>1.3043199999999999</c:v>
                </c:pt>
              </c:numCache>
            </c:numRef>
          </c:xVal>
          <c:yVal>
            <c:numRef>
              <c:f>'Step 2.8'!$I$82:$I$91</c:f>
              <c:numCache>
                <c:formatCode>0.00E+00</c:formatCode>
                <c:ptCount val="10"/>
                <c:pt idx="0">
                  <c:v>2.3193999999999979E-3</c:v>
                </c:pt>
                <c:pt idx="1">
                  <c:v>2.2858000000000002E-3</c:v>
                </c:pt>
                <c:pt idx="2">
                  <c:v>2.2506000000000002E-3</c:v>
                </c:pt>
                <c:pt idx="3">
                  <c:v>2.2162000000000015E-3</c:v>
                </c:pt>
                <c:pt idx="4">
                  <c:v>2.2338000000000015E-3</c:v>
                </c:pt>
                <c:pt idx="5">
                  <c:v>2.1890000000000008E-3</c:v>
                </c:pt>
                <c:pt idx="6">
                  <c:v>2.1165999999999997E-3</c:v>
                </c:pt>
                <c:pt idx="7">
                  <c:v>2.0671999999999999E-3</c:v>
                </c:pt>
                <c:pt idx="8">
                  <c:v>2.0279999999999999E-3</c:v>
                </c:pt>
                <c:pt idx="9">
                  <c:v>1.9568000000000003E-3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D0-4590-852B-6C14AC645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3551"/>
        <c:axId val="1283843151"/>
      </c:scatterChart>
      <c:valAx>
        <c:axId val="1283853551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3151"/>
        <c:crosses val="autoZero"/>
        <c:crossBetween val="midCat"/>
      </c:valAx>
      <c:valAx>
        <c:axId val="128384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3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chart" Target="../charts/chart26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0" Type="http://schemas.openxmlformats.org/officeDocument/2006/relationships/chart" Target="../charts/chart36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/Relationships>
</file>

<file path=xl/drawings/_rels/drawing2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7.xml"/><Relationship Id="rId13" Type="http://schemas.openxmlformats.org/officeDocument/2006/relationships/chart" Target="../charts/chart52.xml"/><Relationship Id="rId3" Type="http://schemas.openxmlformats.org/officeDocument/2006/relationships/chart" Target="../charts/chart42.xml"/><Relationship Id="rId7" Type="http://schemas.openxmlformats.org/officeDocument/2006/relationships/chart" Target="../charts/chart46.xml"/><Relationship Id="rId12" Type="http://schemas.openxmlformats.org/officeDocument/2006/relationships/chart" Target="../charts/chart51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Relationship Id="rId6" Type="http://schemas.openxmlformats.org/officeDocument/2006/relationships/chart" Target="../charts/chart45.xml"/><Relationship Id="rId11" Type="http://schemas.openxmlformats.org/officeDocument/2006/relationships/chart" Target="../charts/chart50.xml"/><Relationship Id="rId5" Type="http://schemas.openxmlformats.org/officeDocument/2006/relationships/chart" Target="../charts/chart44.xml"/><Relationship Id="rId10" Type="http://schemas.openxmlformats.org/officeDocument/2006/relationships/chart" Target="../charts/chart49.xml"/><Relationship Id="rId4" Type="http://schemas.openxmlformats.org/officeDocument/2006/relationships/chart" Target="../charts/chart43.xml"/><Relationship Id="rId9" Type="http://schemas.openxmlformats.org/officeDocument/2006/relationships/chart" Target="../charts/chart4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22</xdr:col>
      <xdr:colOff>42863</xdr:colOff>
      <xdr:row>10</xdr:row>
      <xdr:rowOff>166688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11</xdr:row>
      <xdr:rowOff>9525</xdr:rowOff>
    </xdr:from>
    <xdr:to>
      <xdr:col>22</xdr:col>
      <xdr:colOff>100013</xdr:colOff>
      <xdr:row>20</xdr:row>
      <xdr:rowOff>176213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22</xdr:col>
      <xdr:colOff>109538</xdr:colOff>
      <xdr:row>21</xdr:row>
      <xdr:rowOff>4763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21</xdr:row>
      <xdr:rowOff>19050</xdr:rowOff>
    </xdr:from>
    <xdr:to>
      <xdr:col>22</xdr:col>
      <xdr:colOff>128588</xdr:colOff>
      <xdr:row>30</xdr:row>
      <xdr:rowOff>176213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1</xdr:row>
      <xdr:rowOff>0</xdr:rowOff>
    </xdr:from>
    <xdr:to>
      <xdr:col>22</xdr:col>
      <xdr:colOff>42863</xdr:colOff>
      <xdr:row>10</xdr:row>
      <xdr:rowOff>166688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11</xdr:row>
      <xdr:rowOff>0</xdr:rowOff>
    </xdr:from>
    <xdr:to>
      <xdr:col>22</xdr:col>
      <xdr:colOff>61913</xdr:colOff>
      <xdr:row>21</xdr:row>
      <xdr:rowOff>4763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9525</xdr:colOff>
      <xdr:row>21</xdr:row>
      <xdr:rowOff>9525</xdr:rowOff>
    </xdr:from>
    <xdr:to>
      <xdr:col>22</xdr:col>
      <xdr:colOff>80963</xdr:colOff>
      <xdr:row>30</xdr:row>
      <xdr:rowOff>185738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0</xdr:colOff>
      <xdr:row>31</xdr:row>
      <xdr:rowOff>9525</xdr:rowOff>
    </xdr:from>
    <xdr:to>
      <xdr:col>22</xdr:col>
      <xdr:colOff>100013</xdr:colOff>
      <xdr:row>40</xdr:row>
      <xdr:rowOff>176213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0</xdr:colOff>
      <xdr:row>41</xdr:row>
      <xdr:rowOff>0</xdr:rowOff>
    </xdr:from>
    <xdr:to>
      <xdr:col>22</xdr:col>
      <xdr:colOff>109538</xdr:colOff>
      <xdr:row>50</xdr:row>
      <xdr:rowOff>185738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0</xdr:colOff>
      <xdr:row>51</xdr:row>
      <xdr:rowOff>9525</xdr:rowOff>
    </xdr:from>
    <xdr:to>
      <xdr:col>22</xdr:col>
      <xdr:colOff>109538</xdr:colOff>
      <xdr:row>61</xdr:row>
      <xdr:rowOff>4763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0</xdr:colOff>
      <xdr:row>61</xdr:row>
      <xdr:rowOff>19050</xdr:rowOff>
    </xdr:from>
    <xdr:to>
      <xdr:col>22</xdr:col>
      <xdr:colOff>128588</xdr:colOff>
      <xdr:row>70</xdr:row>
      <xdr:rowOff>176213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0</xdr:colOff>
      <xdr:row>71</xdr:row>
      <xdr:rowOff>0</xdr:rowOff>
    </xdr:from>
    <xdr:to>
      <xdr:col>22</xdr:col>
      <xdr:colOff>138113</xdr:colOff>
      <xdr:row>80</xdr:row>
      <xdr:rowOff>176213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9525</xdr:colOff>
      <xdr:row>81</xdr:row>
      <xdr:rowOff>0</xdr:rowOff>
    </xdr:from>
    <xdr:to>
      <xdr:col>22</xdr:col>
      <xdr:colOff>157163</xdr:colOff>
      <xdr:row>90</xdr:row>
      <xdr:rowOff>176213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0.71268</cdr:x>
      <cdr:y>0.70633</cdr:y>
    </cdr:from>
    <cdr:to>
      <cdr:x>0.92817</cdr:x>
      <cdr:y>0.83797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24188" y="1328738"/>
          <a:ext cx="91440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0.71268</cdr:x>
      <cdr:y>0.70633</cdr:y>
    </cdr:from>
    <cdr:to>
      <cdr:x>0.92817</cdr:x>
      <cdr:y>0.83797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24188" y="1328738"/>
          <a:ext cx="91440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0.71359</cdr:x>
      <cdr:y>0.69493</cdr:y>
    </cdr:from>
    <cdr:to>
      <cdr:x>0.92812</cdr:x>
      <cdr:y>0.8246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41650" y="1327150"/>
          <a:ext cx="91440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0.71869</cdr:x>
      <cdr:y>0.71201</cdr:y>
    </cdr:from>
    <cdr:to>
      <cdr:x>0.93274</cdr:x>
      <cdr:y>0.84299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70225" y="1346200"/>
          <a:ext cx="91440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19050</xdr:colOff>
      <xdr:row>1</xdr:row>
      <xdr:rowOff>0</xdr:rowOff>
    </xdr:from>
    <xdr:to>
      <xdr:col>22</xdr:col>
      <xdr:colOff>61913</xdr:colOff>
      <xdr:row>10</xdr:row>
      <xdr:rowOff>166688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19050</xdr:colOff>
      <xdr:row>11</xdr:row>
      <xdr:rowOff>9525</xdr:rowOff>
    </xdr:from>
    <xdr:to>
      <xdr:col>22</xdr:col>
      <xdr:colOff>119063</xdr:colOff>
      <xdr:row>20</xdr:row>
      <xdr:rowOff>176213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19050</xdr:colOff>
      <xdr:row>21</xdr:row>
      <xdr:rowOff>0</xdr:rowOff>
    </xdr:from>
    <xdr:to>
      <xdr:col>22</xdr:col>
      <xdr:colOff>128588</xdr:colOff>
      <xdr:row>21</xdr:row>
      <xdr:rowOff>4763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19050</xdr:colOff>
      <xdr:row>21</xdr:row>
      <xdr:rowOff>19050</xdr:rowOff>
    </xdr:from>
    <xdr:to>
      <xdr:col>22</xdr:col>
      <xdr:colOff>147638</xdr:colOff>
      <xdr:row>30</xdr:row>
      <xdr:rowOff>176213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19050</xdr:colOff>
      <xdr:row>1</xdr:row>
      <xdr:rowOff>0</xdr:rowOff>
    </xdr:from>
    <xdr:to>
      <xdr:col>22</xdr:col>
      <xdr:colOff>61913</xdr:colOff>
      <xdr:row>10</xdr:row>
      <xdr:rowOff>166688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19050</xdr:colOff>
      <xdr:row>11</xdr:row>
      <xdr:rowOff>0</xdr:rowOff>
    </xdr:from>
    <xdr:to>
      <xdr:col>22</xdr:col>
      <xdr:colOff>80963</xdr:colOff>
      <xdr:row>21</xdr:row>
      <xdr:rowOff>4763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28575</xdr:colOff>
      <xdr:row>21</xdr:row>
      <xdr:rowOff>9525</xdr:rowOff>
    </xdr:from>
    <xdr:to>
      <xdr:col>22</xdr:col>
      <xdr:colOff>100013</xdr:colOff>
      <xdr:row>30</xdr:row>
      <xdr:rowOff>185738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19050</xdr:colOff>
      <xdr:row>31</xdr:row>
      <xdr:rowOff>9525</xdr:rowOff>
    </xdr:from>
    <xdr:to>
      <xdr:col>22</xdr:col>
      <xdr:colOff>119063</xdr:colOff>
      <xdr:row>40</xdr:row>
      <xdr:rowOff>176213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19050</xdr:colOff>
      <xdr:row>41</xdr:row>
      <xdr:rowOff>0</xdr:rowOff>
    </xdr:from>
    <xdr:to>
      <xdr:col>22</xdr:col>
      <xdr:colOff>128588</xdr:colOff>
      <xdr:row>50</xdr:row>
      <xdr:rowOff>185738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19050</xdr:colOff>
      <xdr:row>51</xdr:row>
      <xdr:rowOff>9525</xdr:rowOff>
    </xdr:from>
    <xdr:to>
      <xdr:col>22</xdr:col>
      <xdr:colOff>128588</xdr:colOff>
      <xdr:row>61</xdr:row>
      <xdr:rowOff>4763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19050</xdr:colOff>
      <xdr:row>61</xdr:row>
      <xdr:rowOff>19050</xdr:rowOff>
    </xdr:from>
    <xdr:to>
      <xdr:col>22</xdr:col>
      <xdr:colOff>147638</xdr:colOff>
      <xdr:row>70</xdr:row>
      <xdr:rowOff>176213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19050</xdr:colOff>
      <xdr:row>71</xdr:row>
      <xdr:rowOff>0</xdr:rowOff>
    </xdr:from>
    <xdr:to>
      <xdr:col>22</xdr:col>
      <xdr:colOff>157163</xdr:colOff>
      <xdr:row>80</xdr:row>
      <xdr:rowOff>176213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26035</xdr:colOff>
      <xdr:row>81</xdr:row>
      <xdr:rowOff>81280</xdr:rowOff>
    </xdr:from>
    <xdr:to>
      <xdr:col>22</xdr:col>
      <xdr:colOff>173673</xdr:colOff>
      <xdr:row>91</xdr:row>
      <xdr:rowOff>66993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100-000010000000}"/>
            </a:ext>
            <a:ext uri="{147F2762-F138-4A5C-976F-8EAC2B608ADB}">
              <a16:predDERef xmlns:a16="http://schemas.microsoft.com/office/drawing/2014/main" pred="{00000000-0008-0000-01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0.71268</cdr:x>
      <cdr:y>0.70633</cdr:y>
    </cdr:from>
    <cdr:to>
      <cdr:x>0.92817</cdr:x>
      <cdr:y>0.83797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24188" y="1328738"/>
          <a:ext cx="91440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0.71268</cdr:x>
      <cdr:y>0.70633</cdr:y>
    </cdr:from>
    <cdr:to>
      <cdr:x>0.92817</cdr:x>
      <cdr:y>0.83797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24188" y="1328738"/>
          <a:ext cx="91440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0.71359</cdr:x>
      <cdr:y>0.69493</cdr:y>
    </cdr:from>
    <cdr:to>
      <cdr:x>0.92812</cdr:x>
      <cdr:y>0.8246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41650" y="1327150"/>
          <a:ext cx="91440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0.71869</cdr:x>
      <cdr:y>0.71201</cdr:y>
    </cdr:from>
    <cdr:to>
      <cdr:x>0.93274</cdr:x>
      <cdr:y>0.84299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70225" y="1346200"/>
          <a:ext cx="91440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22</xdr:col>
      <xdr:colOff>42863</xdr:colOff>
      <xdr:row>10</xdr:row>
      <xdr:rowOff>166688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11</xdr:row>
      <xdr:rowOff>9525</xdr:rowOff>
    </xdr:from>
    <xdr:to>
      <xdr:col>22</xdr:col>
      <xdr:colOff>100013</xdr:colOff>
      <xdr:row>20</xdr:row>
      <xdr:rowOff>176213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22</xdr:col>
      <xdr:colOff>109538</xdr:colOff>
      <xdr:row>21</xdr:row>
      <xdr:rowOff>4763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21</xdr:row>
      <xdr:rowOff>19050</xdr:rowOff>
    </xdr:from>
    <xdr:to>
      <xdr:col>22</xdr:col>
      <xdr:colOff>128588</xdr:colOff>
      <xdr:row>30</xdr:row>
      <xdr:rowOff>176213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1</xdr:row>
      <xdr:rowOff>0</xdr:rowOff>
    </xdr:from>
    <xdr:to>
      <xdr:col>22</xdr:col>
      <xdr:colOff>42863</xdr:colOff>
      <xdr:row>10</xdr:row>
      <xdr:rowOff>166688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11</xdr:row>
      <xdr:rowOff>0</xdr:rowOff>
    </xdr:from>
    <xdr:to>
      <xdr:col>22</xdr:col>
      <xdr:colOff>61913</xdr:colOff>
      <xdr:row>21</xdr:row>
      <xdr:rowOff>4763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9525</xdr:colOff>
      <xdr:row>21</xdr:row>
      <xdr:rowOff>9525</xdr:rowOff>
    </xdr:from>
    <xdr:to>
      <xdr:col>22</xdr:col>
      <xdr:colOff>80963</xdr:colOff>
      <xdr:row>30</xdr:row>
      <xdr:rowOff>185738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0</xdr:colOff>
      <xdr:row>31</xdr:row>
      <xdr:rowOff>9525</xdr:rowOff>
    </xdr:from>
    <xdr:to>
      <xdr:col>22</xdr:col>
      <xdr:colOff>100013</xdr:colOff>
      <xdr:row>40</xdr:row>
      <xdr:rowOff>176213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0</xdr:colOff>
      <xdr:row>41</xdr:row>
      <xdr:rowOff>0</xdr:rowOff>
    </xdr:from>
    <xdr:to>
      <xdr:col>22</xdr:col>
      <xdr:colOff>109538</xdr:colOff>
      <xdr:row>50</xdr:row>
      <xdr:rowOff>185738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0</xdr:colOff>
      <xdr:row>51</xdr:row>
      <xdr:rowOff>9525</xdr:rowOff>
    </xdr:from>
    <xdr:to>
      <xdr:col>22</xdr:col>
      <xdr:colOff>109538</xdr:colOff>
      <xdr:row>61</xdr:row>
      <xdr:rowOff>4763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0</xdr:colOff>
      <xdr:row>61</xdr:row>
      <xdr:rowOff>19050</xdr:rowOff>
    </xdr:from>
    <xdr:to>
      <xdr:col>22</xdr:col>
      <xdr:colOff>128588</xdr:colOff>
      <xdr:row>70</xdr:row>
      <xdr:rowOff>176213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0</xdr:colOff>
      <xdr:row>71</xdr:row>
      <xdr:rowOff>0</xdr:rowOff>
    </xdr:from>
    <xdr:to>
      <xdr:col>22</xdr:col>
      <xdr:colOff>138113</xdr:colOff>
      <xdr:row>80</xdr:row>
      <xdr:rowOff>176213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9525</xdr:colOff>
      <xdr:row>81</xdr:row>
      <xdr:rowOff>0</xdr:rowOff>
    </xdr:from>
    <xdr:to>
      <xdr:col>22</xdr:col>
      <xdr:colOff>157163</xdr:colOff>
      <xdr:row>90</xdr:row>
      <xdr:rowOff>176213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0.01197</cdr:x>
      <cdr:y>0.027</cdr:y>
    </cdr:from>
    <cdr:to>
      <cdr:x>0.22746</cdr:x>
      <cdr:y>0.15864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0800" y="50800"/>
          <a:ext cx="914407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0.01181</cdr:x>
      <cdr:y>0.027</cdr:y>
    </cdr:from>
    <cdr:to>
      <cdr:x>0.22444</cdr:x>
      <cdr:y>0.15864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0800" y="50800"/>
          <a:ext cx="914407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0.01179</cdr:x>
      <cdr:y>0.02673</cdr:y>
    </cdr:from>
    <cdr:to>
      <cdr:x>0.22394</cdr:x>
      <cdr:y>0.15705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07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0.01173</cdr:x>
      <cdr:y>0.02714</cdr:y>
    </cdr:from>
    <cdr:to>
      <cdr:x>0.22296</cdr:x>
      <cdr:y>0.15945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07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0.01197</cdr:x>
      <cdr:y>0.027</cdr:y>
    </cdr:from>
    <cdr:to>
      <cdr:x>0.22746</cdr:x>
      <cdr:y>0.15864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0800" y="50800"/>
          <a:ext cx="914407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0.01192</cdr:x>
      <cdr:y>0.0266</cdr:y>
    </cdr:from>
    <cdr:to>
      <cdr:x>0.22645</cdr:x>
      <cdr:y>0.15627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0800" y="50800"/>
          <a:ext cx="914421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0.01189</cdr:x>
      <cdr:y>0.02687</cdr:y>
    </cdr:from>
    <cdr:to>
      <cdr:x>0.22594</cdr:x>
      <cdr:y>0.15785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0800" y="50800"/>
          <a:ext cx="914414" cy="247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0.01181</cdr:x>
      <cdr:y>0.027</cdr:y>
    </cdr:from>
    <cdr:to>
      <cdr:x>0.22444</cdr:x>
      <cdr:y>0.15864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0800" y="50800"/>
          <a:ext cx="914407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0.01179</cdr:x>
      <cdr:y>0.02673</cdr:y>
    </cdr:from>
    <cdr:to>
      <cdr:x>0.22394</cdr:x>
      <cdr:y>0.15705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07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0.01179</cdr:x>
      <cdr:y>0.02673</cdr:y>
    </cdr:from>
    <cdr:to>
      <cdr:x>0.22394</cdr:x>
      <cdr:y>0.15705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07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0.01173</cdr:x>
      <cdr:y>0.02714</cdr:y>
    </cdr:from>
    <cdr:to>
      <cdr:x>0.22296</cdr:x>
      <cdr:y>0.15945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07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0.01171</cdr:x>
      <cdr:y>0.02687</cdr:y>
    </cdr:from>
    <cdr:to>
      <cdr:x>0.22247</cdr:x>
      <cdr:y>0.15784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07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0.01168</cdr:x>
      <cdr:y>0.02687</cdr:y>
    </cdr:from>
    <cdr:to>
      <cdr:x>0.22198</cdr:x>
      <cdr:y>0.15784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07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19050</xdr:colOff>
      <xdr:row>1</xdr:row>
      <xdr:rowOff>0</xdr:rowOff>
    </xdr:from>
    <xdr:to>
      <xdr:col>22</xdr:col>
      <xdr:colOff>61913</xdr:colOff>
      <xdr:row>10</xdr:row>
      <xdr:rowOff>166688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19050</xdr:colOff>
      <xdr:row>11</xdr:row>
      <xdr:rowOff>9525</xdr:rowOff>
    </xdr:from>
    <xdr:to>
      <xdr:col>22</xdr:col>
      <xdr:colOff>119063</xdr:colOff>
      <xdr:row>20</xdr:row>
      <xdr:rowOff>176213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19050</xdr:colOff>
      <xdr:row>21</xdr:row>
      <xdr:rowOff>0</xdr:rowOff>
    </xdr:from>
    <xdr:to>
      <xdr:col>22</xdr:col>
      <xdr:colOff>128588</xdr:colOff>
      <xdr:row>21</xdr:row>
      <xdr:rowOff>4763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19050</xdr:colOff>
      <xdr:row>21</xdr:row>
      <xdr:rowOff>19050</xdr:rowOff>
    </xdr:from>
    <xdr:to>
      <xdr:col>22</xdr:col>
      <xdr:colOff>147638</xdr:colOff>
      <xdr:row>30</xdr:row>
      <xdr:rowOff>176213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19050</xdr:colOff>
      <xdr:row>1</xdr:row>
      <xdr:rowOff>0</xdr:rowOff>
    </xdr:from>
    <xdr:to>
      <xdr:col>22</xdr:col>
      <xdr:colOff>61913</xdr:colOff>
      <xdr:row>10</xdr:row>
      <xdr:rowOff>166688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19050</xdr:colOff>
      <xdr:row>11</xdr:row>
      <xdr:rowOff>0</xdr:rowOff>
    </xdr:from>
    <xdr:to>
      <xdr:col>22</xdr:col>
      <xdr:colOff>80963</xdr:colOff>
      <xdr:row>21</xdr:row>
      <xdr:rowOff>4763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28575</xdr:colOff>
      <xdr:row>21</xdr:row>
      <xdr:rowOff>9525</xdr:rowOff>
    </xdr:from>
    <xdr:to>
      <xdr:col>22</xdr:col>
      <xdr:colOff>100013</xdr:colOff>
      <xdr:row>30</xdr:row>
      <xdr:rowOff>185738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19050</xdr:colOff>
      <xdr:row>31</xdr:row>
      <xdr:rowOff>9525</xdr:rowOff>
    </xdr:from>
    <xdr:to>
      <xdr:col>22</xdr:col>
      <xdr:colOff>119063</xdr:colOff>
      <xdr:row>40</xdr:row>
      <xdr:rowOff>176213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19050</xdr:colOff>
      <xdr:row>41</xdr:row>
      <xdr:rowOff>0</xdr:rowOff>
    </xdr:from>
    <xdr:to>
      <xdr:col>22</xdr:col>
      <xdr:colOff>128588</xdr:colOff>
      <xdr:row>50</xdr:row>
      <xdr:rowOff>185738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19050</xdr:colOff>
      <xdr:row>51</xdr:row>
      <xdr:rowOff>9525</xdr:rowOff>
    </xdr:from>
    <xdr:to>
      <xdr:col>22</xdr:col>
      <xdr:colOff>128588</xdr:colOff>
      <xdr:row>61</xdr:row>
      <xdr:rowOff>4763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19050</xdr:colOff>
      <xdr:row>61</xdr:row>
      <xdr:rowOff>19050</xdr:rowOff>
    </xdr:from>
    <xdr:to>
      <xdr:col>22</xdr:col>
      <xdr:colOff>147638</xdr:colOff>
      <xdr:row>70</xdr:row>
      <xdr:rowOff>176213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19050</xdr:colOff>
      <xdr:row>71</xdr:row>
      <xdr:rowOff>0</xdr:rowOff>
    </xdr:from>
    <xdr:to>
      <xdr:col>22</xdr:col>
      <xdr:colOff>157163</xdr:colOff>
      <xdr:row>80</xdr:row>
      <xdr:rowOff>176213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28575</xdr:colOff>
      <xdr:row>81</xdr:row>
      <xdr:rowOff>0</xdr:rowOff>
    </xdr:from>
    <xdr:to>
      <xdr:col>22</xdr:col>
      <xdr:colOff>176213</xdr:colOff>
      <xdr:row>90</xdr:row>
      <xdr:rowOff>176213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0.01197</cdr:x>
      <cdr:y>0.027</cdr:y>
    </cdr:from>
    <cdr:to>
      <cdr:x>0.22746</cdr:x>
      <cdr:y>0.15864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0800" y="50800"/>
          <a:ext cx="914407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0.01181</cdr:x>
      <cdr:y>0.027</cdr:y>
    </cdr:from>
    <cdr:to>
      <cdr:x>0.22444</cdr:x>
      <cdr:y>0.15865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14" cy="247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0.01179</cdr:x>
      <cdr:y>0.02673</cdr:y>
    </cdr:from>
    <cdr:to>
      <cdr:x>0.22394</cdr:x>
      <cdr:y>0.15706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14" cy="247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0.01173</cdr:x>
      <cdr:y>0.02714</cdr:y>
    </cdr:from>
    <cdr:to>
      <cdr:x>0.22296</cdr:x>
      <cdr:y>0.15945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14" cy="247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0.01197</cdr:x>
      <cdr:y>0.027</cdr:y>
    </cdr:from>
    <cdr:to>
      <cdr:x>0.22746</cdr:x>
      <cdr:y>0.15864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0800" y="50800"/>
          <a:ext cx="914407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0.01192</cdr:x>
      <cdr:y>0.0266</cdr:y>
    </cdr:from>
    <cdr:to>
      <cdr:x>0.22645</cdr:x>
      <cdr:y>0.15627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0800" y="50800"/>
          <a:ext cx="914421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0.01189</cdr:x>
      <cdr:y>0.02687</cdr:y>
    </cdr:from>
    <cdr:to>
      <cdr:x>0.22594</cdr:x>
      <cdr:y>0.15785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0800" y="50800"/>
          <a:ext cx="914414" cy="247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33.xml><?xml version="1.0" encoding="utf-8"?>
<c:userShapes xmlns:c="http://schemas.openxmlformats.org/drawingml/2006/chart">
  <cdr:relSizeAnchor xmlns:cdr="http://schemas.openxmlformats.org/drawingml/2006/chartDrawing">
    <cdr:from>
      <cdr:x>0.01181</cdr:x>
      <cdr:y>0.027</cdr:y>
    </cdr:from>
    <cdr:to>
      <cdr:x>0.22444</cdr:x>
      <cdr:y>0.15865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14" cy="247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0.01179</cdr:x>
      <cdr:y>0.02673</cdr:y>
    </cdr:from>
    <cdr:to>
      <cdr:x>0.22394</cdr:x>
      <cdr:y>0.15706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14" cy="247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35.xml><?xml version="1.0" encoding="utf-8"?>
<c:userShapes xmlns:c="http://schemas.openxmlformats.org/drawingml/2006/chart">
  <cdr:relSizeAnchor xmlns:cdr="http://schemas.openxmlformats.org/drawingml/2006/chartDrawing">
    <cdr:from>
      <cdr:x>0.01179</cdr:x>
      <cdr:y>0.02673</cdr:y>
    </cdr:from>
    <cdr:to>
      <cdr:x>0.22394</cdr:x>
      <cdr:y>0.15706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14" cy="247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0.01173</cdr:x>
      <cdr:y>0.02714</cdr:y>
    </cdr:from>
    <cdr:to>
      <cdr:x>0.22296</cdr:x>
      <cdr:y>0.15945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14" cy="247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37.xml><?xml version="1.0" encoding="utf-8"?>
<c:userShapes xmlns:c="http://schemas.openxmlformats.org/drawingml/2006/chart">
  <cdr:relSizeAnchor xmlns:cdr="http://schemas.openxmlformats.org/drawingml/2006/chartDrawing">
    <cdr:from>
      <cdr:x>0.01171</cdr:x>
      <cdr:y>0.02687</cdr:y>
    </cdr:from>
    <cdr:to>
      <cdr:x>0.22247</cdr:x>
      <cdr:y>0.15785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14" cy="247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0.01168</cdr:x>
      <cdr:y>0.02687</cdr:y>
    </cdr:from>
    <cdr:to>
      <cdr:x>0.22198</cdr:x>
      <cdr:y>0.15785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14" cy="247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1"/>
  <sheetViews>
    <sheetView topLeftCell="A62" zoomScaleNormal="100" workbookViewId="0">
      <selection activeCell="M72" sqref="M72"/>
    </sheetView>
  </sheetViews>
  <sheetFormatPr defaultColWidth="9" defaultRowHeight="14.4" x14ac:dyDescent="0.3"/>
  <cols>
    <col min="1" max="1" width="9" style="1" bestFit="1" customWidth="1"/>
    <col min="2" max="2" width="8.5546875" style="1" bestFit="1" customWidth="1"/>
    <col min="3" max="4" width="13" style="19" bestFit="1" customWidth="1"/>
    <col min="5" max="5" width="10.109375" style="1" bestFit="1" customWidth="1"/>
    <col min="6" max="6" width="12.33203125" style="1" bestFit="1" customWidth="1"/>
    <col min="7" max="8" width="9.33203125" style="1" bestFit="1" customWidth="1"/>
    <col min="9" max="9" width="8.44140625" style="14" bestFit="1" customWidth="1"/>
    <col min="10" max="10" width="12.109375" style="14" customWidth="1"/>
    <col min="11" max="11" width="8.44140625" style="15" bestFit="1" customWidth="1"/>
    <col min="12" max="12" width="12.5546875" style="15" customWidth="1"/>
    <col min="13" max="13" width="9.33203125" style="15" bestFit="1" customWidth="1"/>
    <col min="14" max="14" width="13.44140625" style="14" bestFit="1" customWidth="1"/>
    <col min="15" max="15" width="12.5546875" style="15" bestFit="1" customWidth="1"/>
    <col min="16" max="21" width="9" style="1"/>
    <col min="22" max="22" width="9" style="1" customWidth="1"/>
    <col min="23" max="25" width="9" style="1"/>
    <col min="26" max="26" width="11.44140625" style="1" customWidth="1"/>
    <col min="27" max="16384" width="9" style="1"/>
  </cols>
  <sheetData>
    <row r="1" spans="1:26" x14ac:dyDescent="0.3">
      <c r="A1" s="1" t="s">
        <v>0</v>
      </c>
      <c r="B1" s="1" t="s">
        <v>1</v>
      </c>
      <c r="C1" s="19" t="s">
        <v>2</v>
      </c>
      <c r="D1" s="19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4" t="s">
        <v>8</v>
      </c>
      <c r="J1" s="14" t="s">
        <v>9</v>
      </c>
      <c r="K1" s="15" t="s">
        <v>10</v>
      </c>
      <c r="L1" s="15" t="s">
        <v>11</v>
      </c>
      <c r="M1" s="15" t="s">
        <v>12</v>
      </c>
      <c r="N1" s="14" t="s">
        <v>13</v>
      </c>
      <c r="O1" s="15" t="s">
        <v>14</v>
      </c>
    </row>
    <row r="2" spans="1:26" x14ac:dyDescent="0.3">
      <c r="A2" s="8">
        <v>0.5</v>
      </c>
      <c r="B2" s="8">
        <v>-5</v>
      </c>
      <c r="C2" s="35">
        <v>-5.8052830794232901E-2</v>
      </c>
      <c r="D2" s="35">
        <v>-4.3063322518605496</v>
      </c>
      <c r="E2" s="2">
        <f t="shared" ref="E2:E65" si="0">C2-B2</f>
        <v>4.9419471692057675</v>
      </c>
      <c r="F2" s="2">
        <f t="shared" ref="F2:F65" si="1">D2-B2</f>
        <v>0.69366774813945042</v>
      </c>
      <c r="G2" s="8">
        <v>100</v>
      </c>
      <c r="H2" s="9">
        <v>100000</v>
      </c>
      <c r="I2" s="9">
        <f t="shared" ref="I2:I65" si="2">(A2-C2)/G2</f>
        <v>5.5805283079423292E-3</v>
      </c>
      <c r="J2" s="9">
        <f t="shared" ref="J2:J65" si="3">(0-D2)/H2</f>
        <v>4.3063322518605495E-5</v>
      </c>
      <c r="K2" s="5">
        <f t="shared" ref="K2:K65" si="4">I2/J2</f>
        <v>129.58889332171859</v>
      </c>
      <c r="L2" s="55">
        <f>Z6</f>
        <v>933.33333333333326</v>
      </c>
      <c r="M2" s="16">
        <f>L2/I2</f>
        <v>167248.20336543996</v>
      </c>
      <c r="N2" s="9">
        <f t="shared" ref="N2:N65" si="5">I2/0.025</f>
        <v>0.22322113231769317</v>
      </c>
      <c r="O2" s="5">
        <f t="shared" ref="O2:O65" si="6">0.025/J2</f>
        <v>580.54043529035084</v>
      </c>
      <c r="X2" s="36" t="s">
        <v>15</v>
      </c>
      <c r="Y2" s="36" t="s">
        <v>16</v>
      </c>
      <c r="Z2" s="36" t="s">
        <v>17</v>
      </c>
    </row>
    <row r="3" spans="1:26" x14ac:dyDescent="0.3">
      <c r="A3" s="8">
        <v>1</v>
      </c>
      <c r="B3" s="8">
        <v>-5</v>
      </c>
      <c r="C3" s="35">
        <v>0.44164747065033699</v>
      </c>
      <c r="D3" s="35">
        <v>-4.3063322515563804</v>
      </c>
      <c r="E3" s="2">
        <f t="shared" si="0"/>
        <v>5.441647470650337</v>
      </c>
      <c r="F3" s="2">
        <f t="shared" si="1"/>
        <v>0.69366774844361956</v>
      </c>
      <c r="G3" s="8">
        <v>100</v>
      </c>
      <c r="H3" s="9">
        <v>100000</v>
      </c>
      <c r="I3" s="9">
        <f t="shared" si="2"/>
        <v>5.5835252934966296E-3</v>
      </c>
      <c r="J3" s="9">
        <f t="shared" si="3"/>
        <v>4.3063322515563807E-5</v>
      </c>
      <c r="K3" s="5">
        <f t="shared" si="4"/>
        <v>129.65848818280685</v>
      </c>
      <c r="L3" s="55"/>
      <c r="M3" s="16">
        <f>L2/I3</f>
        <v>167158.43204300094</v>
      </c>
      <c r="N3" s="9">
        <f t="shared" si="5"/>
        <v>0.22334101173986518</v>
      </c>
      <c r="O3" s="5">
        <f t="shared" si="6"/>
        <v>580.54043533135609</v>
      </c>
      <c r="X3" s="36" t="s">
        <v>18</v>
      </c>
      <c r="Y3" s="36" t="s">
        <v>19</v>
      </c>
      <c r="Z3" s="36" t="s">
        <v>20</v>
      </c>
    </row>
    <row r="4" spans="1:26" x14ac:dyDescent="0.3">
      <c r="A4" s="8">
        <v>1.5</v>
      </c>
      <c r="B4" s="8">
        <v>-5</v>
      </c>
      <c r="C4" s="35">
        <v>0.941347772008443</v>
      </c>
      <c r="D4" s="35">
        <v>-4.3063322512192999</v>
      </c>
      <c r="E4" s="2">
        <f t="shared" si="0"/>
        <v>5.9413477720084433</v>
      </c>
      <c r="F4" s="2">
        <f t="shared" si="1"/>
        <v>0.69366774878070014</v>
      </c>
      <c r="G4" s="8">
        <v>100</v>
      </c>
      <c r="H4" s="9">
        <v>100000</v>
      </c>
      <c r="I4" s="9">
        <f t="shared" si="2"/>
        <v>5.5865222799155699E-3</v>
      </c>
      <c r="J4" s="9">
        <f t="shared" si="3"/>
        <v>4.3063322512193002E-5</v>
      </c>
      <c r="K4" s="5">
        <f t="shared" si="4"/>
        <v>129.72808306497473</v>
      </c>
      <c r="L4" s="55"/>
      <c r="M4" s="16">
        <f>L2/I4</f>
        <v>167068.75701343105</v>
      </c>
      <c r="N4" s="9">
        <f t="shared" si="5"/>
        <v>0.2234608911966228</v>
      </c>
      <c r="O4" s="5">
        <f t="shared" si="6"/>
        <v>580.5404353767982</v>
      </c>
    </row>
    <row r="5" spans="1:26" x14ac:dyDescent="0.3">
      <c r="A5" s="8">
        <v>2</v>
      </c>
      <c r="B5" s="8">
        <v>-5</v>
      </c>
      <c r="C5" s="35">
        <v>1.4410480732761</v>
      </c>
      <c r="D5" s="35">
        <v>-4.3063322508489996</v>
      </c>
      <c r="E5" s="2">
        <f t="shared" si="0"/>
        <v>6.4410480732761002</v>
      </c>
      <c r="F5" s="2">
        <f t="shared" si="1"/>
        <v>0.69366774915100038</v>
      </c>
      <c r="G5" s="8">
        <v>100</v>
      </c>
      <c r="H5" s="9">
        <v>100000</v>
      </c>
      <c r="I5" s="9">
        <f t="shared" si="2"/>
        <v>5.5895192672390003E-3</v>
      </c>
      <c r="J5" s="9">
        <f t="shared" si="3"/>
        <v>4.3063322508489997E-5</v>
      </c>
      <c r="K5" s="5">
        <f t="shared" si="4"/>
        <v>129.79767796915851</v>
      </c>
      <c r="L5" s="55"/>
      <c r="M5" s="16">
        <f>L2/I5</f>
        <v>166979.17812069063</v>
      </c>
      <c r="N5" s="9">
        <f t="shared" si="5"/>
        <v>0.22358077068956</v>
      </c>
      <c r="O5" s="5">
        <f t="shared" si="6"/>
        <v>580.54043542671877</v>
      </c>
      <c r="X5" s="34" t="s">
        <v>21</v>
      </c>
      <c r="Y5" s="34" t="s">
        <v>22</v>
      </c>
      <c r="Z5" s="34" t="s">
        <v>23</v>
      </c>
    </row>
    <row r="6" spans="1:26" x14ac:dyDescent="0.3">
      <c r="A6" s="8">
        <v>2.5</v>
      </c>
      <c r="B6" s="8">
        <v>-5</v>
      </c>
      <c r="C6" s="35">
        <v>1.94074837445808</v>
      </c>
      <c r="D6" s="35">
        <v>-4.3063322504458696</v>
      </c>
      <c r="E6" s="2">
        <f t="shared" si="0"/>
        <v>6.9407483744580798</v>
      </c>
      <c r="F6" s="2">
        <f t="shared" si="1"/>
        <v>0.69366774955413035</v>
      </c>
      <c r="G6" s="8">
        <v>100</v>
      </c>
      <c r="H6" s="9">
        <v>100000</v>
      </c>
      <c r="I6" s="9">
        <f t="shared" si="2"/>
        <v>5.5925162554192002E-3</v>
      </c>
      <c r="J6" s="9">
        <f t="shared" si="3"/>
        <v>4.3063322504458696E-5</v>
      </c>
      <c r="K6" s="5">
        <f t="shared" si="4"/>
        <v>129.8672728942399</v>
      </c>
      <c r="L6" s="55"/>
      <c r="M6" s="16">
        <f>L2/I6</f>
        <v>166889.69521169018</v>
      </c>
      <c r="N6" s="9">
        <f t="shared" si="5"/>
        <v>0.22370065021676799</v>
      </c>
      <c r="O6" s="5">
        <f t="shared" si="6"/>
        <v>580.54043548106506</v>
      </c>
      <c r="X6" s="38">
        <v>6.0000000000000002E-6</v>
      </c>
      <c r="Y6" s="37">
        <v>5.5999999999999999E-3</v>
      </c>
      <c r="Z6" s="37">
        <f>ABS(-Y6/X6)</f>
        <v>933.33333333333326</v>
      </c>
    </row>
    <row r="7" spans="1:26" x14ac:dyDescent="0.3">
      <c r="A7" s="8">
        <v>3</v>
      </c>
      <c r="B7" s="8">
        <v>-5</v>
      </c>
      <c r="C7" s="35">
        <v>2.4404486755478101</v>
      </c>
      <c r="D7" s="35">
        <v>-4.3063322500093903</v>
      </c>
      <c r="E7" s="2">
        <f t="shared" si="0"/>
        <v>7.4404486755478096</v>
      </c>
      <c r="F7" s="2">
        <f t="shared" si="1"/>
        <v>0.69366774999060965</v>
      </c>
      <c r="G7" s="8">
        <v>100</v>
      </c>
      <c r="H7" s="9">
        <v>100000</v>
      </c>
      <c r="I7" s="9">
        <f t="shared" si="2"/>
        <v>5.5955132445218991E-3</v>
      </c>
      <c r="J7" s="9">
        <f t="shared" si="3"/>
        <v>4.3063322500093902E-5</v>
      </c>
      <c r="K7" s="5">
        <f t="shared" si="4"/>
        <v>129.93686784176251</v>
      </c>
      <c r="L7" s="55"/>
      <c r="M7" s="16">
        <f>L2/I7</f>
        <v>166800.30813028317</v>
      </c>
      <c r="N7" s="9">
        <f t="shared" si="5"/>
        <v>0.22382052978087597</v>
      </c>
      <c r="O7" s="5">
        <f t="shared" si="6"/>
        <v>580.54043553990721</v>
      </c>
      <c r="Z7" s="1" t="e">
        <f t="shared" ref="Z7:Z70" si="7">ABS(-Y7/X7)</f>
        <v>#DIV/0!</v>
      </c>
    </row>
    <row r="8" spans="1:26" x14ac:dyDescent="0.3">
      <c r="A8" s="8">
        <v>3.5</v>
      </c>
      <c r="B8" s="8">
        <v>-5</v>
      </c>
      <c r="C8" s="35">
        <v>2.9401489765510398</v>
      </c>
      <c r="D8" s="35">
        <v>-4.3063322495400298</v>
      </c>
      <c r="E8" s="2">
        <f t="shared" si="0"/>
        <v>7.9401489765510398</v>
      </c>
      <c r="F8" s="2">
        <f t="shared" si="1"/>
        <v>0.6936677504599702</v>
      </c>
      <c r="G8" s="8">
        <v>100</v>
      </c>
      <c r="H8" s="9">
        <v>100000</v>
      </c>
      <c r="I8" s="9">
        <f t="shared" si="2"/>
        <v>5.5985102344896023E-3</v>
      </c>
      <c r="J8" s="9">
        <f t="shared" si="3"/>
        <v>4.3063322495400296E-5</v>
      </c>
      <c r="K8" s="5">
        <f t="shared" si="4"/>
        <v>130.00646281037868</v>
      </c>
      <c r="L8" s="55"/>
      <c r="M8" s="16">
        <f>L2/I8</f>
        <v>166711.01672433081</v>
      </c>
      <c r="N8" s="9">
        <f t="shared" si="5"/>
        <v>0.22394040937958409</v>
      </c>
      <c r="O8" s="5">
        <f t="shared" si="6"/>
        <v>580.54043560318212</v>
      </c>
      <c r="Z8" s="1" t="e">
        <f t="shared" si="7"/>
        <v>#DIV/0!</v>
      </c>
    </row>
    <row r="9" spans="1:26" x14ac:dyDescent="0.3">
      <c r="A9" s="8">
        <v>4</v>
      </c>
      <c r="B9" s="8">
        <v>-5</v>
      </c>
      <c r="C9" s="35">
        <v>3.4398492774660299</v>
      </c>
      <c r="D9" s="35">
        <v>-4.3063322490376503</v>
      </c>
      <c r="E9" s="2">
        <f t="shared" si="0"/>
        <v>8.4398492774660294</v>
      </c>
      <c r="F9" s="2">
        <f t="shared" si="1"/>
        <v>0.69366775096234967</v>
      </c>
      <c r="G9" s="8">
        <v>100</v>
      </c>
      <c r="H9" s="9">
        <v>100000</v>
      </c>
      <c r="I9" s="9">
        <f t="shared" si="2"/>
        <v>5.6015072253397013E-3</v>
      </c>
      <c r="J9" s="9">
        <f t="shared" si="3"/>
        <v>4.3063322490376503E-5</v>
      </c>
      <c r="K9" s="5">
        <f t="shared" si="4"/>
        <v>130.07605780049803</v>
      </c>
      <c r="L9" s="55"/>
      <c r="M9" s="16">
        <f>L2/I9</f>
        <v>166621.82083978865</v>
      </c>
      <c r="N9" s="9">
        <f t="shared" si="5"/>
        <v>0.22406028901358804</v>
      </c>
      <c r="O9" s="5">
        <f t="shared" si="6"/>
        <v>580.54043567090832</v>
      </c>
      <c r="Z9" s="1" t="e">
        <f t="shared" si="7"/>
        <v>#DIV/0!</v>
      </c>
    </row>
    <row r="10" spans="1:26" x14ac:dyDescent="0.3">
      <c r="A10" s="8">
        <v>4.5</v>
      </c>
      <c r="B10" s="8">
        <v>-5</v>
      </c>
      <c r="C10" s="35">
        <v>3.9395495782908498</v>
      </c>
      <c r="D10" s="35">
        <v>-4.3063322485021303</v>
      </c>
      <c r="E10" s="2">
        <f t="shared" si="0"/>
        <v>8.9395495782908494</v>
      </c>
      <c r="F10" s="2">
        <f t="shared" si="1"/>
        <v>0.69366775149786974</v>
      </c>
      <c r="G10" s="8">
        <v>100</v>
      </c>
      <c r="H10" s="9">
        <v>100000</v>
      </c>
      <c r="I10" s="9">
        <f t="shared" si="2"/>
        <v>5.6045042170915016E-3</v>
      </c>
      <c r="J10" s="9">
        <f t="shared" si="3"/>
        <v>4.3063322485021303E-5</v>
      </c>
      <c r="K10" s="5">
        <f t="shared" si="4"/>
        <v>130.14565281257418</v>
      </c>
      <c r="L10" s="55"/>
      <c r="M10" s="16">
        <f>L2/I10</f>
        <v>166532.72032288584</v>
      </c>
      <c r="N10" s="9">
        <f t="shared" si="5"/>
        <v>0.22418016868366006</v>
      </c>
      <c r="O10" s="5">
        <f t="shared" si="6"/>
        <v>580.54043574310231</v>
      </c>
      <c r="Z10" s="1" t="e">
        <f t="shared" si="7"/>
        <v>#DIV/0!</v>
      </c>
    </row>
    <row r="11" spans="1:26" x14ac:dyDescent="0.3">
      <c r="A11" s="8">
        <v>5</v>
      </c>
      <c r="B11" s="8">
        <v>-5</v>
      </c>
      <c r="C11" s="35">
        <v>4.4392498790272104</v>
      </c>
      <c r="D11" s="35">
        <v>-4.3063322479336099</v>
      </c>
      <c r="E11" s="2">
        <f t="shared" si="0"/>
        <v>9.4392498790272104</v>
      </c>
      <c r="F11" s="2">
        <f t="shared" si="1"/>
        <v>0.69366775206639009</v>
      </c>
      <c r="G11" s="8">
        <v>100</v>
      </c>
      <c r="H11" s="9">
        <v>100000</v>
      </c>
      <c r="I11" s="9">
        <f t="shared" si="2"/>
        <v>5.6075012097278965E-3</v>
      </c>
      <c r="J11" s="9">
        <f t="shared" si="3"/>
        <v>4.3063322479336099E-5</v>
      </c>
      <c r="K11" s="5">
        <f t="shared" si="4"/>
        <v>130.21524784620721</v>
      </c>
      <c r="L11" s="55"/>
      <c r="M11" s="16">
        <f>L2/I11</f>
        <v>166443.71502126224</v>
      </c>
      <c r="N11" s="9">
        <f t="shared" si="5"/>
        <v>0.22430004838911585</v>
      </c>
      <c r="O11" s="5">
        <f t="shared" si="6"/>
        <v>580.54043581974497</v>
      </c>
      <c r="Z11" s="1" t="e">
        <f t="shared" si="7"/>
        <v>#DIV/0!</v>
      </c>
    </row>
    <row r="12" spans="1:26" x14ac:dyDescent="0.3">
      <c r="A12" s="21">
        <v>0.5</v>
      </c>
      <c r="B12" s="21">
        <v>-4.5</v>
      </c>
      <c r="C12" s="31">
        <v>2.790889E-3</v>
      </c>
      <c r="D12" s="31">
        <v>-3.8116174200000001</v>
      </c>
      <c r="E12" s="25">
        <f t="shared" si="0"/>
        <v>4.5027908889999999</v>
      </c>
      <c r="F12" s="25">
        <f t="shared" si="1"/>
        <v>0.68838257999999986</v>
      </c>
      <c r="G12" s="21">
        <v>100</v>
      </c>
      <c r="H12" s="22">
        <v>100000</v>
      </c>
      <c r="I12" s="22">
        <f t="shared" si="2"/>
        <v>4.9720911100000001E-3</v>
      </c>
      <c r="J12" s="22">
        <f t="shared" si="3"/>
        <v>3.8116174199999998E-5</v>
      </c>
      <c r="K12" s="23">
        <f t="shared" si="4"/>
        <v>130.44570223419748</v>
      </c>
      <c r="L12" s="56">
        <f>Z13</f>
        <v>979.99999999999989</v>
      </c>
      <c r="M12" s="24">
        <f>L12/I12</f>
        <v>197100.16938929341</v>
      </c>
      <c r="N12" s="22">
        <f t="shared" si="5"/>
        <v>0.1988836444</v>
      </c>
      <c r="O12" s="23">
        <f t="shared" si="6"/>
        <v>655.8895409812668</v>
      </c>
      <c r="Z12" s="1" t="e">
        <f t="shared" si="7"/>
        <v>#DIV/0!</v>
      </c>
    </row>
    <row r="13" spans="1:26" x14ac:dyDescent="0.3">
      <c r="A13" s="21">
        <v>1</v>
      </c>
      <c r="B13" s="21">
        <v>-4.5</v>
      </c>
      <c r="C13" s="31">
        <v>0.502523885</v>
      </c>
      <c r="D13" s="31">
        <v>-3.8116174200000001</v>
      </c>
      <c r="E13" s="25">
        <f t="shared" si="0"/>
        <v>5.0025238850000004</v>
      </c>
      <c r="F13" s="25">
        <f t="shared" si="1"/>
        <v>0.68838257999999986</v>
      </c>
      <c r="G13" s="21">
        <v>100</v>
      </c>
      <c r="H13" s="22">
        <v>100000</v>
      </c>
      <c r="I13" s="22">
        <f t="shared" si="2"/>
        <v>4.9747611499999997E-3</v>
      </c>
      <c r="J13" s="22">
        <f t="shared" si="3"/>
        <v>3.8116174199999998E-5</v>
      </c>
      <c r="K13" s="23">
        <f t="shared" si="4"/>
        <v>130.51575228659755</v>
      </c>
      <c r="L13" s="56"/>
      <c r="M13" s="24">
        <f>L12/I13</f>
        <v>196994.38233331061</v>
      </c>
      <c r="N13" s="22">
        <f t="shared" si="5"/>
        <v>0.19899044599999999</v>
      </c>
      <c r="O13" s="23">
        <f t="shared" si="6"/>
        <v>655.8895409812668</v>
      </c>
      <c r="X13" s="38">
        <v>5.0000000000000004E-6</v>
      </c>
      <c r="Y13" s="37">
        <v>4.8999999999999998E-3</v>
      </c>
      <c r="Z13" s="37">
        <f t="shared" si="7"/>
        <v>979.99999999999989</v>
      </c>
    </row>
    <row r="14" spans="1:26" x14ac:dyDescent="0.3">
      <c r="A14" s="21">
        <v>1.5</v>
      </c>
      <c r="B14" s="21">
        <v>-4.5</v>
      </c>
      <c r="C14" s="31">
        <v>1.00225688</v>
      </c>
      <c r="D14" s="31">
        <v>-3.8116174190000001</v>
      </c>
      <c r="E14" s="25">
        <f t="shared" si="0"/>
        <v>5.50225688</v>
      </c>
      <c r="F14" s="25">
        <f t="shared" si="1"/>
        <v>0.68838258099999994</v>
      </c>
      <c r="G14" s="21">
        <v>100</v>
      </c>
      <c r="H14" s="22">
        <v>100000</v>
      </c>
      <c r="I14" s="22">
        <f t="shared" si="2"/>
        <v>4.9774312000000001E-3</v>
      </c>
      <c r="J14" s="22">
        <f t="shared" si="3"/>
        <v>3.8116174190000002E-5</v>
      </c>
      <c r="K14" s="23">
        <f t="shared" si="4"/>
        <v>130.58580263561336</v>
      </c>
      <c r="L14" s="56"/>
      <c r="M14" s="24">
        <f>L12/I14</f>
        <v>196888.70837632066</v>
      </c>
      <c r="N14" s="22">
        <f t="shared" si="5"/>
        <v>0.199097248</v>
      </c>
      <c r="O14" s="23">
        <f t="shared" si="6"/>
        <v>655.88954115334309</v>
      </c>
      <c r="Z14" s="1" t="e">
        <f t="shared" si="7"/>
        <v>#DIV/0!</v>
      </c>
    </row>
    <row r="15" spans="1:26" x14ac:dyDescent="0.3">
      <c r="A15" s="21">
        <v>2</v>
      </c>
      <c r="B15" s="21">
        <v>-4.5</v>
      </c>
      <c r="C15" s="31">
        <v>1.501989875</v>
      </c>
      <c r="D15" s="31">
        <v>-3.8116174190000001</v>
      </c>
      <c r="E15" s="25">
        <f t="shared" si="0"/>
        <v>6.0019898749999996</v>
      </c>
      <c r="F15" s="25">
        <f t="shared" si="1"/>
        <v>0.68838258099999994</v>
      </c>
      <c r="G15" s="21">
        <v>100</v>
      </c>
      <c r="H15" s="22">
        <v>100000</v>
      </c>
      <c r="I15" s="22">
        <f t="shared" si="2"/>
        <v>4.9801012499999997E-3</v>
      </c>
      <c r="J15" s="22">
        <f t="shared" si="3"/>
        <v>3.8116174190000002E-5</v>
      </c>
      <c r="K15" s="23">
        <f t="shared" si="4"/>
        <v>130.65585295038761</v>
      </c>
      <c r="L15" s="56"/>
      <c r="M15" s="24">
        <f>L12/I15</f>
        <v>196783.14773218715</v>
      </c>
      <c r="N15" s="22">
        <f t="shared" si="5"/>
        <v>0.19920404999999997</v>
      </c>
      <c r="O15" s="23">
        <f t="shared" si="6"/>
        <v>655.88954115334309</v>
      </c>
      <c r="Z15" s="1" t="e">
        <f t="shared" si="7"/>
        <v>#DIV/0!</v>
      </c>
    </row>
    <row r="16" spans="1:26" x14ac:dyDescent="0.3">
      <c r="A16" s="21">
        <v>2.5</v>
      </c>
      <c r="B16" s="21">
        <v>-4.5</v>
      </c>
      <c r="C16" s="31">
        <v>2.001722869</v>
      </c>
      <c r="D16" s="31">
        <v>-3.811617418</v>
      </c>
      <c r="E16" s="25">
        <f t="shared" si="0"/>
        <v>6.501722869</v>
      </c>
      <c r="F16" s="25">
        <f t="shared" si="1"/>
        <v>0.68838258200000002</v>
      </c>
      <c r="G16" s="21">
        <v>100</v>
      </c>
      <c r="H16" s="22">
        <v>100000</v>
      </c>
      <c r="I16" s="22">
        <f t="shared" si="2"/>
        <v>4.9827713100000001E-3</v>
      </c>
      <c r="J16" s="22">
        <f t="shared" si="3"/>
        <v>3.8116174179999998E-5</v>
      </c>
      <c r="K16" s="23">
        <f t="shared" si="4"/>
        <v>130.72590356181439</v>
      </c>
      <c r="L16" s="56"/>
      <c r="M16" s="24">
        <f>L12/I16</f>
        <v>196677.69982403624</v>
      </c>
      <c r="N16" s="22">
        <f t="shared" si="5"/>
        <v>0.19931085239999999</v>
      </c>
      <c r="O16" s="23">
        <f t="shared" si="6"/>
        <v>655.8895413254196</v>
      </c>
      <c r="Z16" s="1" t="e">
        <f t="shared" si="7"/>
        <v>#DIV/0!</v>
      </c>
    </row>
    <row r="17" spans="1:26" x14ac:dyDescent="0.3">
      <c r="A17" s="21">
        <v>3</v>
      </c>
      <c r="B17" s="21">
        <v>-4.5</v>
      </c>
      <c r="C17" s="31">
        <v>2.5014558619999998</v>
      </c>
      <c r="D17" s="31">
        <v>-3.8116174159999998</v>
      </c>
      <c r="E17" s="25">
        <f t="shared" si="0"/>
        <v>7.0014558620000003</v>
      </c>
      <c r="F17" s="25">
        <f t="shared" si="1"/>
        <v>0.68838258400000019</v>
      </c>
      <c r="G17" s="21">
        <v>100</v>
      </c>
      <c r="H17" s="22">
        <v>100000</v>
      </c>
      <c r="I17" s="22">
        <f t="shared" si="2"/>
        <v>4.9854413800000021E-3</v>
      </c>
      <c r="J17" s="22">
        <f t="shared" si="3"/>
        <v>3.8116174159999999E-5</v>
      </c>
      <c r="K17" s="23">
        <f t="shared" si="4"/>
        <v>130.7959544699489</v>
      </c>
      <c r="L17" s="56"/>
      <c r="M17" s="24">
        <f>L12/I17</f>
        <v>196572.36447136791</v>
      </c>
      <c r="N17" s="22">
        <f t="shared" si="5"/>
        <v>0.19941765520000007</v>
      </c>
      <c r="O17" s="23">
        <f t="shared" si="6"/>
        <v>655.88954166957251</v>
      </c>
      <c r="Z17" s="1" t="e">
        <f t="shared" si="7"/>
        <v>#DIV/0!</v>
      </c>
    </row>
    <row r="18" spans="1:26" x14ac:dyDescent="0.3">
      <c r="A18" s="21">
        <v>3.5</v>
      </c>
      <c r="B18" s="21">
        <v>-4.5</v>
      </c>
      <c r="C18" s="31">
        <v>3.0011888550000001</v>
      </c>
      <c r="D18" s="31">
        <v>-3.8116174150000002</v>
      </c>
      <c r="E18" s="25">
        <f t="shared" si="0"/>
        <v>7.5011888550000005</v>
      </c>
      <c r="F18" s="25">
        <f t="shared" si="1"/>
        <v>0.68838258499999982</v>
      </c>
      <c r="G18" s="21">
        <v>100</v>
      </c>
      <c r="H18" s="22">
        <v>100000</v>
      </c>
      <c r="I18" s="22">
        <f t="shared" si="2"/>
        <v>4.988111449999999E-3</v>
      </c>
      <c r="J18" s="22">
        <f t="shared" si="3"/>
        <v>3.8116174150000002E-5</v>
      </c>
      <c r="K18" s="23">
        <f t="shared" si="4"/>
        <v>130.86600534382328</v>
      </c>
      <c r="L18" s="56"/>
      <c r="M18" s="24">
        <f>L12/I18</f>
        <v>196467.1418879384</v>
      </c>
      <c r="N18" s="22">
        <f t="shared" si="5"/>
        <v>0.19952445799999996</v>
      </c>
      <c r="O18" s="23">
        <f t="shared" si="6"/>
        <v>655.88954184164891</v>
      </c>
      <c r="Z18" s="1" t="e">
        <f t="shared" si="7"/>
        <v>#DIV/0!</v>
      </c>
    </row>
    <row r="19" spans="1:26" x14ac:dyDescent="0.3">
      <c r="A19" s="21">
        <v>4</v>
      </c>
      <c r="B19" s="21">
        <v>-4.5</v>
      </c>
      <c r="C19" s="31">
        <v>3.5009218469999999</v>
      </c>
      <c r="D19" s="31">
        <v>-3.811617413</v>
      </c>
      <c r="E19" s="25">
        <f t="shared" si="0"/>
        <v>8.0009218470000008</v>
      </c>
      <c r="F19" s="25">
        <f t="shared" si="1"/>
        <v>0.68838258699999999</v>
      </c>
      <c r="G19" s="21">
        <v>100</v>
      </c>
      <c r="H19" s="22">
        <v>100000</v>
      </c>
      <c r="I19" s="22">
        <f t="shared" si="2"/>
        <v>4.990781530000001E-3</v>
      </c>
      <c r="J19" s="22">
        <f t="shared" si="3"/>
        <v>3.8116174130000003E-5</v>
      </c>
      <c r="K19" s="23">
        <f t="shared" si="4"/>
        <v>130.93605651444221</v>
      </c>
      <c r="L19" s="56"/>
      <c r="M19" s="24">
        <f>L12/I19</f>
        <v>196362.031499303</v>
      </c>
      <c r="N19" s="22">
        <f t="shared" si="5"/>
        <v>0.19963126120000002</v>
      </c>
      <c r="O19" s="23">
        <f t="shared" si="6"/>
        <v>655.8895421858017</v>
      </c>
      <c r="Z19" s="1" t="e">
        <f t="shared" si="7"/>
        <v>#DIV/0!</v>
      </c>
    </row>
    <row r="20" spans="1:26" x14ac:dyDescent="0.3">
      <c r="A20" s="21">
        <v>4.5</v>
      </c>
      <c r="B20" s="21">
        <v>-4.5</v>
      </c>
      <c r="C20" s="31">
        <v>4.000654838</v>
      </c>
      <c r="D20" s="31">
        <v>-3.8116174100000002</v>
      </c>
      <c r="E20" s="25">
        <f t="shared" si="0"/>
        <v>8.5006548379999991</v>
      </c>
      <c r="F20" s="25">
        <f t="shared" si="1"/>
        <v>0.68838258999999979</v>
      </c>
      <c r="G20" s="21">
        <v>100</v>
      </c>
      <c r="H20" s="22">
        <v>100000</v>
      </c>
      <c r="I20" s="22">
        <f t="shared" si="2"/>
        <v>4.9934516200000004E-3</v>
      </c>
      <c r="J20" s="22">
        <f t="shared" si="3"/>
        <v>3.81161741E-5</v>
      </c>
      <c r="K20" s="23">
        <f t="shared" si="4"/>
        <v>131.00610798186065</v>
      </c>
      <c r="L20" s="56"/>
      <c r="M20" s="24">
        <f>L12/I20</f>
        <v>196257.03312611644</v>
      </c>
      <c r="N20" s="22">
        <f t="shared" si="5"/>
        <v>0.1997380648</v>
      </c>
      <c r="O20" s="23">
        <f t="shared" si="6"/>
        <v>655.88954270203112</v>
      </c>
      <c r="Z20" s="1" t="e">
        <f t="shared" si="7"/>
        <v>#DIV/0!</v>
      </c>
    </row>
    <row r="21" spans="1:26" x14ac:dyDescent="0.3">
      <c r="A21" s="21">
        <v>5</v>
      </c>
      <c r="B21" s="21">
        <v>-4.5</v>
      </c>
      <c r="C21" s="31">
        <v>4.5003878290000001</v>
      </c>
      <c r="D21" s="31">
        <v>-3.811617408</v>
      </c>
      <c r="E21" s="25">
        <f t="shared" si="0"/>
        <v>9.000387829000001</v>
      </c>
      <c r="F21" s="25">
        <f t="shared" si="1"/>
        <v>0.68838259199999996</v>
      </c>
      <c r="G21" s="21">
        <v>100</v>
      </c>
      <c r="H21" s="22">
        <v>100000</v>
      </c>
      <c r="I21" s="22">
        <f t="shared" si="2"/>
        <v>4.996121709999999E-3</v>
      </c>
      <c r="J21" s="22">
        <f t="shared" si="3"/>
        <v>3.811617408E-5</v>
      </c>
      <c r="K21" s="23">
        <f t="shared" si="4"/>
        <v>131.07615941500075</v>
      </c>
      <c r="L21" s="56"/>
      <c r="M21" s="24">
        <f>L12/I21</f>
        <v>196152.14698202381</v>
      </c>
      <c r="N21" s="22">
        <f t="shared" si="5"/>
        <v>0.19984486839999996</v>
      </c>
      <c r="O21" s="23">
        <f t="shared" si="6"/>
        <v>655.88954304618392</v>
      </c>
      <c r="Z21" s="1" t="e">
        <f t="shared" si="7"/>
        <v>#DIV/0!</v>
      </c>
    </row>
    <row r="22" spans="1:26" x14ac:dyDescent="0.3">
      <c r="A22" s="10">
        <v>0.5</v>
      </c>
      <c r="B22" s="10">
        <v>-4</v>
      </c>
      <c r="C22" s="32">
        <v>6.5213368999999993E-2</v>
      </c>
      <c r="D22" s="32">
        <v>-3.3176686150000001</v>
      </c>
      <c r="E22" s="3">
        <f t="shared" si="0"/>
        <v>4.0652133690000003</v>
      </c>
      <c r="F22" s="3">
        <f t="shared" si="1"/>
        <v>0.6823313849999999</v>
      </c>
      <c r="G22" s="10">
        <v>100</v>
      </c>
      <c r="H22" s="11">
        <v>100000</v>
      </c>
      <c r="I22" s="11">
        <f t="shared" si="2"/>
        <v>4.3478663100000002E-3</v>
      </c>
      <c r="J22" s="11">
        <f t="shared" si="3"/>
        <v>3.3176686149999999E-5</v>
      </c>
      <c r="K22" s="6">
        <f t="shared" si="4"/>
        <v>131.05185642538925</v>
      </c>
      <c r="L22" s="52">
        <f>Z22</f>
        <v>859.99999999999989</v>
      </c>
      <c r="M22" s="17">
        <f>L22/I22</f>
        <v>197798.17010978883</v>
      </c>
      <c r="N22" s="11">
        <f t="shared" si="5"/>
        <v>0.17391465240000001</v>
      </c>
      <c r="O22" s="6">
        <f t="shared" si="6"/>
        <v>753.54120321025493</v>
      </c>
      <c r="X22" s="38">
        <v>5.0000000000000004E-6</v>
      </c>
      <c r="Y22" s="37">
        <v>4.3E-3</v>
      </c>
      <c r="Z22" s="37">
        <f t="shared" si="7"/>
        <v>859.99999999999989</v>
      </c>
    </row>
    <row r="23" spans="1:26" x14ac:dyDescent="0.3">
      <c r="A23" s="10">
        <v>1</v>
      </c>
      <c r="B23" s="10">
        <v>-4</v>
      </c>
      <c r="C23" s="32">
        <v>0.56497992500000005</v>
      </c>
      <c r="D23" s="32">
        <v>-3.3176686160000002</v>
      </c>
      <c r="E23" s="3">
        <f t="shared" si="0"/>
        <v>4.5649799250000003</v>
      </c>
      <c r="F23" s="3">
        <f t="shared" si="1"/>
        <v>0.68233138399999982</v>
      </c>
      <c r="G23" s="10">
        <v>100</v>
      </c>
      <c r="H23" s="11">
        <v>100000</v>
      </c>
      <c r="I23" s="11">
        <f t="shared" si="2"/>
        <v>4.3502007499999999E-3</v>
      </c>
      <c r="J23" s="11">
        <f t="shared" si="3"/>
        <v>3.3176686160000003E-5</v>
      </c>
      <c r="K23" s="6">
        <f t="shared" si="4"/>
        <v>131.12222025492372</v>
      </c>
      <c r="L23" s="52"/>
      <c r="M23" s="17">
        <f>L22/I23</f>
        <v>197692.02605190114</v>
      </c>
      <c r="N23" s="11">
        <f t="shared" si="5"/>
        <v>0.17400802999999998</v>
      </c>
      <c r="O23" s="6">
        <f t="shared" si="6"/>
        <v>753.54120298312512</v>
      </c>
      <c r="Z23" s="1" t="e">
        <f t="shared" si="7"/>
        <v>#DIV/0!</v>
      </c>
    </row>
    <row r="24" spans="1:26" x14ac:dyDescent="0.3">
      <c r="A24" s="10">
        <v>1.5</v>
      </c>
      <c r="B24" s="10">
        <v>-4</v>
      </c>
      <c r="C24" s="32">
        <v>1.0647464769999999</v>
      </c>
      <c r="D24" s="32">
        <v>-3.317668614</v>
      </c>
      <c r="E24" s="3">
        <f t="shared" si="0"/>
        <v>5.0647464769999999</v>
      </c>
      <c r="F24" s="3">
        <f t="shared" si="1"/>
        <v>0.68233138599999998</v>
      </c>
      <c r="G24" s="10">
        <v>100</v>
      </c>
      <c r="H24" s="11">
        <v>100000</v>
      </c>
      <c r="I24" s="11">
        <f t="shared" si="2"/>
        <v>4.3525352300000011E-3</v>
      </c>
      <c r="J24" s="11">
        <f t="shared" si="3"/>
        <v>3.3176686140000003E-5</v>
      </c>
      <c r="K24" s="6">
        <f t="shared" si="4"/>
        <v>131.19258540871257</v>
      </c>
      <c r="L24" s="52"/>
      <c r="M24" s="17">
        <f>L22/I24</f>
        <v>197585.99403685922</v>
      </c>
      <c r="N24" s="11">
        <f t="shared" si="5"/>
        <v>0.17410140920000003</v>
      </c>
      <c r="O24" s="6">
        <f t="shared" si="6"/>
        <v>753.54120343738464</v>
      </c>
      <c r="Z24" s="1" t="e">
        <f t="shared" si="7"/>
        <v>#DIV/0!</v>
      </c>
    </row>
    <row r="25" spans="1:26" x14ac:dyDescent="0.3">
      <c r="A25" s="10">
        <v>2</v>
      </c>
      <c r="B25" s="10">
        <v>-4</v>
      </c>
      <c r="C25" s="32">
        <v>1.5645130229999999</v>
      </c>
      <c r="D25" s="32">
        <v>-3.3176686100000001</v>
      </c>
      <c r="E25" s="3">
        <f t="shared" si="0"/>
        <v>5.5645130229999999</v>
      </c>
      <c r="F25" s="3">
        <f t="shared" si="1"/>
        <v>0.68233138999999987</v>
      </c>
      <c r="G25" s="10">
        <v>100</v>
      </c>
      <c r="H25" s="11">
        <v>100000</v>
      </c>
      <c r="I25" s="11">
        <f t="shared" si="2"/>
        <v>4.3548697700000003E-3</v>
      </c>
      <c r="J25" s="11">
        <f t="shared" si="3"/>
        <v>3.3176686100000004E-5</v>
      </c>
      <c r="K25" s="6">
        <f t="shared" si="4"/>
        <v>131.26295245021473</v>
      </c>
      <c r="L25" s="52"/>
      <c r="M25" s="17">
        <f>L22/I25</f>
        <v>197480.07298046019</v>
      </c>
      <c r="N25" s="11">
        <f t="shared" si="5"/>
        <v>0.1741947908</v>
      </c>
      <c r="O25" s="6">
        <f t="shared" si="6"/>
        <v>753.54120434590357</v>
      </c>
      <c r="Z25" s="1" t="e">
        <f t="shared" si="7"/>
        <v>#DIV/0!</v>
      </c>
    </row>
    <row r="26" spans="1:26" x14ac:dyDescent="0.3">
      <c r="A26" s="10">
        <v>2.5</v>
      </c>
      <c r="B26" s="10">
        <v>-4</v>
      </c>
      <c r="C26" s="32">
        <v>2.0642795660000002</v>
      </c>
      <c r="D26" s="32">
        <v>-3.317668603</v>
      </c>
      <c r="E26" s="3">
        <f t="shared" si="0"/>
        <v>6.0642795659999997</v>
      </c>
      <c r="F26" s="3">
        <f t="shared" si="1"/>
        <v>0.68233139700000001</v>
      </c>
      <c r="G26" s="10">
        <v>100</v>
      </c>
      <c r="H26" s="11">
        <v>100000</v>
      </c>
      <c r="I26" s="11">
        <f t="shared" si="2"/>
        <v>4.3572043399999986E-3</v>
      </c>
      <c r="J26" s="11">
        <f t="shared" si="3"/>
        <v>3.3176686030000002E-5</v>
      </c>
      <c r="K26" s="6">
        <f t="shared" si="4"/>
        <v>131.33332051489407</v>
      </c>
      <c r="L26" s="52"/>
      <c r="M26" s="17">
        <f>L22/I26</f>
        <v>197374.26406767973</v>
      </c>
      <c r="N26" s="11">
        <f t="shared" si="5"/>
        <v>0.17428817359999993</v>
      </c>
      <c r="O26" s="6">
        <f t="shared" si="6"/>
        <v>753.54120593581183</v>
      </c>
      <c r="Z26" s="1" t="e">
        <f t="shared" si="7"/>
        <v>#DIV/0!</v>
      </c>
    </row>
    <row r="27" spans="1:26" x14ac:dyDescent="0.3">
      <c r="A27" s="10">
        <v>3</v>
      </c>
      <c r="B27" s="10">
        <v>-4</v>
      </c>
      <c r="C27" s="32">
        <v>2.5640461029999999</v>
      </c>
      <c r="D27" s="32">
        <v>-3.3176685930000001</v>
      </c>
      <c r="E27" s="3">
        <f t="shared" si="0"/>
        <v>6.5640461029999999</v>
      </c>
      <c r="F27" s="3">
        <f t="shared" si="1"/>
        <v>0.68233140699999995</v>
      </c>
      <c r="G27" s="10">
        <v>100</v>
      </c>
      <c r="H27" s="11">
        <v>100000</v>
      </c>
      <c r="I27" s="11">
        <f t="shared" si="2"/>
        <v>4.3595389700000009E-3</v>
      </c>
      <c r="J27" s="11">
        <f t="shared" si="3"/>
        <v>3.3176685930000003E-5</v>
      </c>
      <c r="K27" s="6">
        <f t="shared" si="4"/>
        <v>131.40369050719107</v>
      </c>
      <c r="L27" s="52"/>
      <c r="M27" s="17">
        <f>L22/I27</f>
        <v>197268.56576304437</v>
      </c>
      <c r="N27" s="11">
        <f t="shared" si="5"/>
        <v>0.17438155880000003</v>
      </c>
      <c r="O27" s="6">
        <f t="shared" si="6"/>
        <v>753.54120820710921</v>
      </c>
      <c r="Z27" s="1" t="e">
        <f t="shared" si="7"/>
        <v>#DIV/0!</v>
      </c>
    </row>
    <row r="28" spans="1:26" x14ac:dyDescent="0.3">
      <c r="A28" s="10">
        <v>3.5</v>
      </c>
      <c r="B28" s="10">
        <v>-4</v>
      </c>
      <c r="C28" s="32">
        <v>3.0638126940000001</v>
      </c>
      <c r="D28" s="32">
        <v>-3.3176686150000001</v>
      </c>
      <c r="E28" s="3">
        <f t="shared" si="0"/>
        <v>7.0638126940000001</v>
      </c>
      <c r="F28" s="3">
        <f t="shared" si="1"/>
        <v>0.6823313849999999</v>
      </c>
      <c r="G28" s="10">
        <v>100</v>
      </c>
      <c r="H28" s="11">
        <v>100000</v>
      </c>
      <c r="I28" s="11">
        <f t="shared" si="2"/>
        <v>4.3618730599999985E-3</v>
      </c>
      <c r="J28" s="11">
        <f t="shared" si="3"/>
        <v>3.3176686149999999E-5</v>
      </c>
      <c r="K28" s="6">
        <f t="shared" si="4"/>
        <v>131.4740429553118</v>
      </c>
      <c r="L28" s="52"/>
      <c r="M28" s="17">
        <f>L22/I28</f>
        <v>197163.00501418082</v>
      </c>
      <c r="N28" s="11">
        <f t="shared" si="5"/>
        <v>0.17447492239999993</v>
      </c>
      <c r="O28" s="6">
        <f t="shared" si="6"/>
        <v>753.54120321025493</v>
      </c>
      <c r="Z28" s="1" t="e">
        <f t="shared" si="7"/>
        <v>#DIV/0!</v>
      </c>
    </row>
    <row r="29" spans="1:26" x14ac:dyDescent="0.3">
      <c r="A29" s="10">
        <v>4</v>
      </c>
      <c r="B29" s="10">
        <v>-4</v>
      </c>
      <c r="C29" s="32">
        <v>3.5635792099999999</v>
      </c>
      <c r="D29" s="32">
        <v>-3.317668592</v>
      </c>
      <c r="E29" s="3">
        <f t="shared" si="0"/>
        <v>7.5635792100000003</v>
      </c>
      <c r="F29" s="3">
        <f t="shared" si="1"/>
        <v>0.68233140800000003</v>
      </c>
      <c r="G29" s="10">
        <v>100</v>
      </c>
      <c r="H29" s="11">
        <v>100000</v>
      </c>
      <c r="I29" s="11">
        <f t="shared" si="2"/>
        <v>4.3642079000000009E-3</v>
      </c>
      <c r="J29" s="11">
        <f t="shared" si="3"/>
        <v>3.317668592E-5</v>
      </c>
      <c r="K29" s="6">
        <f t="shared" si="4"/>
        <v>131.5444197929701</v>
      </c>
      <c r="L29" s="52"/>
      <c r="M29" s="17">
        <f>L22/I29</f>
        <v>197057.52331368075</v>
      </c>
      <c r="N29" s="11">
        <f t="shared" si="5"/>
        <v>0.17456831600000003</v>
      </c>
      <c r="O29" s="6">
        <f t="shared" si="6"/>
        <v>753.54120843423902</v>
      </c>
      <c r="Z29" s="1" t="e">
        <f t="shared" si="7"/>
        <v>#DIV/0!</v>
      </c>
    </row>
    <row r="30" spans="1:26" x14ac:dyDescent="0.3">
      <c r="A30" s="10">
        <v>4.5</v>
      </c>
      <c r="B30" s="10">
        <v>-4</v>
      </c>
      <c r="C30" s="32">
        <v>4.0633458009999996</v>
      </c>
      <c r="D30" s="32">
        <v>-3.317668614</v>
      </c>
      <c r="E30" s="3">
        <f t="shared" si="0"/>
        <v>8.0633458010000005</v>
      </c>
      <c r="F30" s="3">
        <f t="shared" si="1"/>
        <v>0.68233138599999998</v>
      </c>
      <c r="G30" s="10">
        <v>100</v>
      </c>
      <c r="H30" s="11">
        <v>100000</v>
      </c>
      <c r="I30" s="11">
        <f t="shared" si="2"/>
        <v>4.3665419900000037E-3</v>
      </c>
      <c r="J30" s="11">
        <f t="shared" si="3"/>
        <v>3.3176686140000003E-5</v>
      </c>
      <c r="K30" s="6">
        <f t="shared" si="4"/>
        <v>131.61477224017901</v>
      </c>
      <c r="L30" s="52"/>
      <c r="M30" s="17">
        <f>L22/I30</f>
        <v>196952.18824633339</v>
      </c>
      <c r="N30" s="11">
        <f t="shared" si="5"/>
        <v>0.17466167960000015</v>
      </c>
      <c r="O30" s="6">
        <f t="shared" si="6"/>
        <v>753.54120343738464</v>
      </c>
      <c r="Z30" s="1" t="e">
        <f t="shared" si="7"/>
        <v>#DIV/0!</v>
      </c>
    </row>
    <row r="31" spans="1:26" x14ac:dyDescent="0.3">
      <c r="A31" s="10">
        <v>5</v>
      </c>
      <c r="B31" s="10">
        <v>-4</v>
      </c>
      <c r="C31" s="32">
        <v>4.5631123179999999</v>
      </c>
      <c r="D31" s="32">
        <v>-3.317668592</v>
      </c>
      <c r="E31" s="3">
        <f t="shared" si="0"/>
        <v>8.5631123179999999</v>
      </c>
      <c r="F31" s="3">
        <f t="shared" si="1"/>
        <v>0.68233140800000003</v>
      </c>
      <c r="G31" s="10">
        <v>100</v>
      </c>
      <c r="H31" s="11">
        <v>100000</v>
      </c>
      <c r="I31" s="11">
        <f t="shared" si="2"/>
        <v>4.3688768200000009E-3</v>
      </c>
      <c r="J31" s="11">
        <f t="shared" si="3"/>
        <v>3.317668592E-5</v>
      </c>
      <c r="K31" s="6">
        <f t="shared" si="4"/>
        <v>131.68514873772543</v>
      </c>
      <c r="L31" s="52"/>
      <c r="M31" s="17">
        <f>L22/I31</f>
        <v>196846.93238844845</v>
      </c>
      <c r="N31" s="11">
        <f t="shared" si="5"/>
        <v>0.17475507280000002</v>
      </c>
      <c r="O31" s="6">
        <f t="shared" si="6"/>
        <v>753.54120843423902</v>
      </c>
      <c r="Z31" s="1" t="e">
        <f t="shared" si="7"/>
        <v>#DIV/0!</v>
      </c>
    </row>
    <row r="32" spans="1:26" x14ac:dyDescent="0.3">
      <c r="A32" s="12">
        <v>0.5</v>
      </c>
      <c r="B32" s="12">
        <v>-3.5</v>
      </c>
      <c r="C32" s="33">
        <v>0.12925345099999999</v>
      </c>
      <c r="D32" s="33">
        <v>-2.824740356</v>
      </c>
      <c r="E32" s="4">
        <f t="shared" si="0"/>
        <v>3.6292534509999999</v>
      </c>
      <c r="F32" s="4">
        <f t="shared" si="1"/>
        <v>0.67525964400000005</v>
      </c>
      <c r="G32" s="12">
        <v>100</v>
      </c>
      <c r="H32" s="13">
        <v>100000</v>
      </c>
      <c r="I32" s="13">
        <f t="shared" si="2"/>
        <v>3.7074654900000003E-3</v>
      </c>
      <c r="J32" s="13">
        <f t="shared" si="3"/>
        <v>2.8247403559999998E-5</v>
      </c>
      <c r="K32" s="7">
        <f t="shared" si="4"/>
        <v>131.24977954610992</v>
      </c>
      <c r="L32" s="54">
        <f>Z33</f>
        <v>925.00000000000011</v>
      </c>
      <c r="M32" s="18">
        <f>L32/I32</f>
        <v>249496.59072888634</v>
      </c>
      <c r="N32" s="13">
        <f t="shared" si="5"/>
        <v>0.14829861960000001</v>
      </c>
      <c r="O32" s="7">
        <f t="shared" si="6"/>
        <v>885.03709542357683</v>
      </c>
      <c r="Z32" s="1" t="e">
        <f t="shared" si="7"/>
        <v>#DIV/0!</v>
      </c>
    </row>
    <row r="33" spans="1:26" x14ac:dyDescent="0.3">
      <c r="A33" s="12">
        <v>1</v>
      </c>
      <c r="B33" s="12">
        <v>-3.5</v>
      </c>
      <c r="C33" s="33">
        <v>0.62905445900000001</v>
      </c>
      <c r="D33" s="33">
        <v>-2.8247403680000001</v>
      </c>
      <c r="E33" s="4">
        <f t="shared" si="0"/>
        <v>4.1290544589999998</v>
      </c>
      <c r="F33" s="4">
        <f t="shared" si="1"/>
        <v>0.67525963199999994</v>
      </c>
      <c r="G33" s="12">
        <v>100</v>
      </c>
      <c r="H33" s="13">
        <v>100000</v>
      </c>
      <c r="I33" s="13">
        <f t="shared" si="2"/>
        <v>3.7094554100000001E-3</v>
      </c>
      <c r="J33" s="13">
        <f t="shared" si="3"/>
        <v>2.824740368E-5</v>
      </c>
      <c r="K33" s="7">
        <f t="shared" si="4"/>
        <v>131.32022510891522</v>
      </c>
      <c r="L33" s="54"/>
      <c r="M33" s="18">
        <f>L32/I33</f>
        <v>249362.74945006013</v>
      </c>
      <c r="N33" s="13">
        <f t="shared" si="5"/>
        <v>0.14837821639999998</v>
      </c>
      <c r="O33" s="7">
        <f t="shared" si="6"/>
        <v>885.03709166378155</v>
      </c>
      <c r="X33" s="38">
        <v>3.9999999999999998E-6</v>
      </c>
      <c r="Y33" s="37">
        <v>3.7000000000000002E-3</v>
      </c>
      <c r="Z33" s="37">
        <f t="shared" si="7"/>
        <v>925.00000000000011</v>
      </c>
    </row>
    <row r="34" spans="1:26" x14ac:dyDescent="0.3">
      <c r="A34" s="12">
        <v>1.5</v>
      </c>
      <c r="B34" s="12">
        <v>-3.5</v>
      </c>
      <c r="C34" s="33">
        <v>1.1288554369999999</v>
      </c>
      <c r="D34" s="33">
        <v>-2.8247403549999999</v>
      </c>
      <c r="E34" s="4">
        <f t="shared" si="0"/>
        <v>4.6288554370000004</v>
      </c>
      <c r="F34" s="4">
        <f t="shared" si="1"/>
        <v>0.67525964500000013</v>
      </c>
      <c r="G34" s="12">
        <v>100</v>
      </c>
      <c r="H34" s="13">
        <v>100000</v>
      </c>
      <c r="I34" s="13">
        <f t="shared" si="2"/>
        <v>3.7114456300000008E-3</v>
      </c>
      <c r="J34" s="13">
        <f t="shared" si="3"/>
        <v>2.8247403549999999E-5</v>
      </c>
      <c r="K34" s="7">
        <f t="shared" si="4"/>
        <v>131.39068245442334</v>
      </c>
      <c r="L34" s="54"/>
      <c r="M34" s="18">
        <f>L32/I34</f>
        <v>249229.03154585615</v>
      </c>
      <c r="N34" s="13">
        <f t="shared" si="5"/>
        <v>0.14845782520000003</v>
      </c>
      <c r="O34" s="7">
        <f t="shared" si="6"/>
        <v>885.03709573689309</v>
      </c>
      <c r="Z34" s="1" t="e">
        <f t="shared" si="7"/>
        <v>#DIV/0!</v>
      </c>
    </row>
    <row r="35" spans="1:26" x14ac:dyDescent="0.3">
      <c r="A35" s="12">
        <v>2</v>
      </c>
      <c r="B35" s="12">
        <v>-3.5</v>
      </c>
      <c r="C35" s="33">
        <v>1.6286564450000001</v>
      </c>
      <c r="D35" s="33">
        <v>-2.824740367</v>
      </c>
      <c r="E35" s="4">
        <f t="shared" si="0"/>
        <v>5.1286564449999998</v>
      </c>
      <c r="F35" s="4">
        <f t="shared" si="1"/>
        <v>0.67525963300000003</v>
      </c>
      <c r="G35" s="12">
        <v>100</v>
      </c>
      <c r="H35" s="13">
        <v>100000</v>
      </c>
      <c r="I35" s="13">
        <f t="shared" si="2"/>
        <v>3.7134355499999993E-3</v>
      </c>
      <c r="J35" s="13">
        <f t="shared" si="3"/>
        <v>2.824740367E-5</v>
      </c>
      <c r="K35" s="7">
        <f t="shared" si="4"/>
        <v>131.46112801665495</v>
      </c>
      <c r="L35" s="54"/>
      <c r="M35" s="18">
        <f>L32/I35</f>
        <v>249095.47709802055</v>
      </c>
      <c r="N35" s="13">
        <f t="shared" si="5"/>
        <v>0.14853742199999997</v>
      </c>
      <c r="O35" s="7">
        <f t="shared" si="6"/>
        <v>885.03709197709782</v>
      </c>
      <c r="Z35" s="1" t="e">
        <f t="shared" si="7"/>
        <v>#DIV/0!</v>
      </c>
    </row>
    <row r="36" spans="1:26" x14ac:dyDescent="0.3">
      <c r="A36" s="12">
        <v>2.5</v>
      </c>
      <c r="B36" s="12">
        <v>-3.5</v>
      </c>
      <c r="C36" s="33">
        <v>2.1284574219999999</v>
      </c>
      <c r="D36" s="33">
        <v>-2.8247403549999999</v>
      </c>
      <c r="E36" s="4">
        <f t="shared" si="0"/>
        <v>5.6284574220000003</v>
      </c>
      <c r="F36" s="4">
        <f t="shared" si="1"/>
        <v>0.67525964500000013</v>
      </c>
      <c r="G36" s="12">
        <v>100</v>
      </c>
      <c r="H36" s="13">
        <v>100000</v>
      </c>
      <c r="I36" s="13">
        <f t="shared" si="2"/>
        <v>3.7154257800000013E-3</v>
      </c>
      <c r="J36" s="13">
        <f t="shared" si="3"/>
        <v>2.8247403549999999E-5</v>
      </c>
      <c r="K36" s="7">
        <f t="shared" si="4"/>
        <v>131.53158567028726</v>
      </c>
      <c r="L36" s="54"/>
      <c r="M36" s="18">
        <f>L32/I36</f>
        <v>248962.04493687931</v>
      </c>
      <c r="N36" s="13">
        <f t="shared" si="5"/>
        <v>0.14861703120000005</v>
      </c>
      <c r="O36" s="7">
        <f t="shared" si="6"/>
        <v>885.03709573689309</v>
      </c>
      <c r="Z36" s="1" t="e">
        <f t="shared" si="7"/>
        <v>#DIV/0!</v>
      </c>
    </row>
    <row r="37" spans="1:26" x14ac:dyDescent="0.3">
      <c r="A37" s="12">
        <v>3</v>
      </c>
      <c r="B37" s="12">
        <v>-3.5</v>
      </c>
      <c r="C37" s="33">
        <v>2.6282584299999998</v>
      </c>
      <c r="D37" s="33">
        <v>-2.824740367</v>
      </c>
      <c r="E37" s="4">
        <f t="shared" si="0"/>
        <v>6.1282584299999998</v>
      </c>
      <c r="F37" s="4">
        <f t="shared" si="1"/>
        <v>0.67525963300000003</v>
      </c>
      <c r="G37" s="12">
        <v>100</v>
      </c>
      <c r="H37" s="13">
        <v>100000</v>
      </c>
      <c r="I37" s="13">
        <f t="shared" si="2"/>
        <v>3.7174157000000019E-3</v>
      </c>
      <c r="J37" s="13">
        <f t="shared" si="3"/>
        <v>2.824740367E-5</v>
      </c>
      <c r="K37" s="7">
        <f t="shared" si="4"/>
        <v>131.60203123192036</v>
      </c>
      <c r="L37" s="54"/>
      <c r="M37" s="18">
        <f>L32/I37</f>
        <v>248828.77639969069</v>
      </c>
      <c r="N37" s="13">
        <f t="shared" si="5"/>
        <v>0.14869662800000008</v>
      </c>
      <c r="O37" s="7">
        <f t="shared" si="6"/>
        <v>885.03709197709782</v>
      </c>
      <c r="Z37" s="1" t="e">
        <f t="shared" si="7"/>
        <v>#DIV/0!</v>
      </c>
    </row>
    <row r="38" spans="1:26" x14ac:dyDescent="0.3">
      <c r="A38" s="12">
        <v>3.5</v>
      </c>
      <c r="B38" s="12">
        <v>-3.5</v>
      </c>
      <c r="C38" s="33">
        <v>3.1280594079999999</v>
      </c>
      <c r="D38" s="33">
        <v>-2.8247403539999998</v>
      </c>
      <c r="E38" s="4">
        <f t="shared" si="0"/>
        <v>6.6280594080000004</v>
      </c>
      <c r="F38" s="4">
        <f t="shared" si="1"/>
        <v>0.67525964600000021</v>
      </c>
      <c r="G38" s="12">
        <v>100</v>
      </c>
      <c r="H38" s="13">
        <v>100000</v>
      </c>
      <c r="I38" s="13">
        <f t="shared" si="2"/>
        <v>3.7194059200000005E-3</v>
      </c>
      <c r="J38" s="13">
        <f t="shared" si="3"/>
        <v>2.8247403539999999E-5</v>
      </c>
      <c r="K38" s="7">
        <f t="shared" si="4"/>
        <v>131.67248857875029</v>
      </c>
      <c r="L38" s="54"/>
      <c r="M38" s="18">
        <f>L32/I38</f>
        <v>248695.63040325537</v>
      </c>
      <c r="N38" s="13">
        <f t="shared" si="5"/>
        <v>0.14877623680000002</v>
      </c>
      <c r="O38" s="7">
        <f t="shared" si="6"/>
        <v>885.03709605020936</v>
      </c>
      <c r="Z38" s="1" t="e">
        <f t="shared" si="7"/>
        <v>#DIV/0!</v>
      </c>
    </row>
    <row r="39" spans="1:26" x14ac:dyDescent="0.3">
      <c r="A39" s="12">
        <v>4</v>
      </c>
      <c r="B39" s="12">
        <v>-3.5</v>
      </c>
      <c r="C39" s="33">
        <v>3.6278604159999999</v>
      </c>
      <c r="D39" s="33">
        <v>-2.8247403659999999</v>
      </c>
      <c r="E39" s="4">
        <f t="shared" si="0"/>
        <v>7.1278604159999999</v>
      </c>
      <c r="F39" s="4">
        <f t="shared" si="1"/>
        <v>0.67525963400000011</v>
      </c>
      <c r="G39" s="12">
        <v>100</v>
      </c>
      <c r="H39" s="13">
        <v>100000</v>
      </c>
      <c r="I39" s="13">
        <f t="shared" si="2"/>
        <v>3.7213958400000012E-3</v>
      </c>
      <c r="J39" s="13">
        <f t="shared" si="3"/>
        <v>2.824740366E-5</v>
      </c>
      <c r="K39" s="7">
        <f t="shared" si="4"/>
        <v>131.74293413980976</v>
      </c>
      <c r="L39" s="54"/>
      <c r="M39" s="18">
        <f>L32/I39</f>
        <v>248562.6468588732</v>
      </c>
      <c r="N39" s="13">
        <f t="shared" si="5"/>
        <v>0.14885583360000004</v>
      </c>
      <c r="O39" s="7">
        <f t="shared" si="6"/>
        <v>885.03709229041408</v>
      </c>
      <c r="Z39" s="1" t="e">
        <f t="shared" si="7"/>
        <v>#DIV/0!</v>
      </c>
    </row>
    <row r="40" spans="1:26" x14ac:dyDescent="0.3">
      <c r="A40" s="12">
        <v>4.5</v>
      </c>
      <c r="B40" s="12">
        <v>-3.5</v>
      </c>
      <c r="C40" s="33">
        <v>4.1276613940000004</v>
      </c>
      <c r="D40" s="33">
        <v>-2.8247403539999998</v>
      </c>
      <c r="E40" s="4">
        <f t="shared" si="0"/>
        <v>7.6276613940000004</v>
      </c>
      <c r="F40" s="4">
        <f t="shared" si="1"/>
        <v>0.67525964600000021</v>
      </c>
      <c r="G40" s="12">
        <v>100</v>
      </c>
      <c r="H40" s="13">
        <v>100000</v>
      </c>
      <c r="I40" s="13">
        <f t="shared" si="2"/>
        <v>3.7233860599999958E-3</v>
      </c>
      <c r="J40" s="13">
        <f t="shared" si="3"/>
        <v>2.8247403539999999E-5</v>
      </c>
      <c r="K40" s="7">
        <f t="shared" si="4"/>
        <v>131.81339144064907</v>
      </c>
      <c r="L40" s="54"/>
      <c r="M40" s="18">
        <f>L32/I40</f>
        <v>248429.78544105124</v>
      </c>
      <c r="N40" s="13">
        <f t="shared" si="5"/>
        <v>0.14893544239999981</v>
      </c>
      <c r="O40" s="7">
        <f t="shared" si="6"/>
        <v>885.03709605020936</v>
      </c>
      <c r="Z40" s="1" t="e">
        <f t="shared" si="7"/>
        <v>#DIV/0!</v>
      </c>
    </row>
    <row r="41" spans="1:26" x14ac:dyDescent="0.3">
      <c r="A41" s="12">
        <v>5</v>
      </c>
      <c r="B41" s="12">
        <v>-3.5</v>
      </c>
      <c r="C41" s="33">
        <v>4.6274624019999999</v>
      </c>
      <c r="D41" s="33">
        <v>-2.8247403659999999</v>
      </c>
      <c r="E41" s="4">
        <f t="shared" si="0"/>
        <v>8.127462401999999</v>
      </c>
      <c r="F41" s="4">
        <f t="shared" si="1"/>
        <v>0.67525963400000011</v>
      </c>
      <c r="G41" s="12">
        <v>100</v>
      </c>
      <c r="H41" s="13">
        <v>100000</v>
      </c>
      <c r="I41" s="13">
        <f t="shared" si="2"/>
        <v>3.7253759800000008E-3</v>
      </c>
      <c r="J41" s="13">
        <f t="shared" si="3"/>
        <v>2.824740366E-5</v>
      </c>
      <c r="K41" s="7">
        <f t="shared" si="4"/>
        <v>131.88383700111009</v>
      </c>
      <c r="L41" s="54"/>
      <c r="M41" s="18">
        <f>L32/I41</f>
        <v>248297.08597627236</v>
      </c>
      <c r="N41" s="13">
        <f t="shared" si="5"/>
        <v>0.14901503920000003</v>
      </c>
      <c r="O41" s="7">
        <f t="shared" si="6"/>
        <v>885.03709229041408</v>
      </c>
      <c r="Z41" s="1" t="e">
        <f t="shared" si="7"/>
        <v>#DIV/0!</v>
      </c>
    </row>
    <row r="42" spans="1:26" x14ac:dyDescent="0.3">
      <c r="A42" s="8">
        <v>0.5</v>
      </c>
      <c r="B42" s="8">
        <v>-3</v>
      </c>
      <c r="C42" s="30">
        <v>0.194887534</v>
      </c>
      <c r="D42" s="30">
        <v>-2.3332365890000002</v>
      </c>
      <c r="E42" s="2">
        <f t="shared" si="0"/>
        <v>3.1948875339999998</v>
      </c>
      <c r="F42" s="2">
        <f t="shared" si="1"/>
        <v>0.66676341099999981</v>
      </c>
      <c r="G42" s="8">
        <v>100</v>
      </c>
      <c r="H42" s="9">
        <v>100000</v>
      </c>
      <c r="I42" s="9">
        <f t="shared" si="2"/>
        <v>3.0511246599999996E-3</v>
      </c>
      <c r="J42" s="9">
        <f t="shared" si="3"/>
        <v>2.3332365890000003E-5</v>
      </c>
      <c r="K42" s="5">
        <f t="shared" si="4"/>
        <v>130.7679073088631</v>
      </c>
      <c r="L42" s="55">
        <f>Z43</f>
        <v>1000</v>
      </c>
      <c r="M42" s="16">
        <f>L42/I42</f>
        <v>327747.99833973357</v>
      </c>
      <c r="N42" s="9">
        <f t="shared" si="5"/>
        <v>0.12204498639999999</v>
      </c>
      <c r="O42" s="5">
        <f t="shared" si="6"/>
        <v>1071.4729966888924</v>
      </c>
      <c r="Z42" s="1" t="e">
        <f t="shared" si="7"/>
        <v>#DIV/0!</v>
      </c>
    </row>
    <row r="43" spans="1:26" x14ac:dyDescent="0.3">
      <c r="A43" s="8">
        <v>1</v>
      </c>
      <c r="B43" s="8">
        <v>-3</v>
      </c>
      <c r="C43" s="30">
        <v>0.69472383000000004</v>
      </c>
      <c r="D43" s="30">
        <v>-2.3332365890000002</v>
      </c>
      <c r="E43" s="2">
        <f t="shared" si="0"/>
        <v>3.69472383</v>
      </c>
      <c r="F43" s="2">
        <f t="shared" si="1"/>
        <v>0.66676341099999981</v>
      </c>
      <c r="G43" s="8">
        <v>100</v>
      </c>
      <c r="H43" s="9">
        <v>100000</v>
      </c>
      <c r="I43" s="9">
        <f t="shared" si="2"/>
        <v>3.0527616999999996E-3</v>
      </c>
      <c r="J43" s="9">
        <f t="shared" si="3"/>
        <v>2.3332365890000003E-5</v>
      </c>
      <c r="K43" s="5">
        <f t="shared" si="4"/>
        <v>130.83806907504308</v>
      </c>
      <c r="L43" s="55"/>
      <c r="M43" s="16">
        <f>L42/I43</f>
        <v>327572.24384726794</v>
      </c>
      <c r="N43" s="9">
        <f t="shared" si="5"/>
        <v>0.12211046799999997</v>
      </c>
      <c r="O43" s="5">
        <f t="shared" si="6"/>
        <v>1071.4729966888924</v>
      </c>
      <c r="X43" s="38">
        <v>3.0000000000000001E-6</v>
      </c>
      <c r="Y43" s="37">
        <v>3.0000000000000001E-3</v>
      </c>
      <c r="Z43" s="37">
        <f t="shared" si="7"/>
        <v>1000</v>
      </c>
    </row>
    <row r="44" spans="1:26" x14ac:dyDescent="0.3">
      <c r="A44" s="8">
        <v>1.5</v>
      </c>
      <c r="B44" s="8">
        <v>-3</v>
      </c>
      <c r="C44" s="30">
        <v>1.194560125</v>
      </c>
      <c r="D44" s="30">
        <v>-2.3332365890000002</v>
      </c>
      <c r="E44" s="2">
        <f t="shared" si="0"/>
        <v>4.1945601249999998</v>
      </c>
      <c r="F44" s="2">
        <f t="shared" si="1"/>
        <v>0.66676341099999981</v>
      </c>
      <c r="G44" s="8">
        <v>100</v>
      </c>
      <c r="H44" s="9">
        <v>100000</v>
      </c>
      <c r="I44" s="9">
        <f t="shared" si="2"/>
        <v>3.0543987500000003E-3</v>
      </c>
      <c r="J44" s="9">
        <f t="shared" si="3"/>
        <v>2.3332365890000003E-5</v>
      </c>
      <c r="K44" s="5">
        <f t="shared" si="4"/>
        <v>130.90823126981229</v>
      </c>
      <c r="L44" s="55"/>
      <c r="M44" s="16">
        <f>L42/I44</f>
        <v>327396.67667818419</v>
      </c>
      <c r="N44" s="9">
        <f t="shared" si="5"/>
        <v>0.12217595000000001</v>
      </c>
      <c r="O44" s="5">
        <f t="shared" si="6"/>
        <v>1071.4729966888924</v>
      </c>
      <c r="Z44" s="1" t="e">
        <f t="shared" si="7"/>
        <v>#DIV/0!</v>
      </c>
    </row>
    <row r="45" spans="1:26" x14ac:dyDescent="0.3">
      <c r="A45" s="8">
        <v>2</v>
      </c>
      <c r="B45" s="8">
        <v>-3</v>
      </c>
      <c r="C45" s="30">
        <v>1.694396421</v>
      </c>
      <c r="D45" s="30">
        <v>-2.3332365890000002</v>
      </c>
      <c r="E45" s="2">
        <f t="shared" si="0"/>
        <v>4.6943964210000004</v>
      </c>
      <c r="F45" s="2">
        <f t="shared" si="1"/>
        <v>0.66676341099999981</v>
      </c>
      <c r="G45" s="8">
        <v>100</v>
      </c>
      <c r="H45" s="9">
        <v>100000</v>
      </c>
      <c r="I45" s="9">
        <f t="shared" si="2"/>
        <v>3.0560357900000002E-3</v>
      </c>
      <c r="J45" s="9">
        <f t="shared" si="3"/>
        <v>2.3332365890000003E-5</v>
      </c>
      <c r="K45" s="5">
        <f t="shared" si="4"/>
        <v>130.97839303599227</v>
      </c>
      <c r="L45" s="55"/>
      <c r="M45" s="16">
        <f>L42/I45</f>
        <v>327221.29867464671</v>
      </c>
      <c r="N45" s="9">
        <f t="shared" si="5"/>
        <v>0.12224143160000001</v>
      </c>
      <c r="O45" s="5">
        <f t="shared" si="6"/>
        <v>1071.4729966888924</v>
      </c>
      <c r="Z45" s="1" t="e">
        <f t="shared" si="7"/>
        <v>#DIV/0!</v>
      </c>
    </row>
    <row r="46" spans="1:26" x14ac:dyDescent="0.3">
      <c r="A46" s="8">
        <v>2.5</v>
      </c>
      <c r="B46" s="8">
        <v>-3</v>
      </c>
      <c r="C46" s="30">
        <v>2.1942327160000001</v>
      </c>
      <c r="D46" s="30">
        <v>-2.3332365890000002</v>
      </c>
      <c r="E46" s="2">
        <f t="shared" si="0"/>
        <v>5.1942327160000001</v>
      </c>
      <c r="F46" s="2">
        <f t="shared" si="1"/>
        <v>0.66676341099999981</v>
      </c>
      <c r="G46" s="8">
        <v>100</v>
      </c>
      <c r="H46" s="9">
        <v>100000</v>
      </c>
      <c r="I46" s="9">
        <f t="shared" si="2"/>
        <v>3.0576728399999988E-3</v>
      </c>
      <c r="J46" s="9">
        <f t="shared" si="3"/>
        <v>2.3332365890000003E-5</v>
      </c>
      <c r="K46" s="5">
        <f t="shared" si="4"/>
        <v>131.04855523076139</v>
      </c>
      <c r="L46" s="55"/>
      <c r="M46" s="16">
        <f>L42/I46</f>
        <v>327046.1073919211</v>
      </c>
      <c r="N46" s="9">
        <f t="shared" si="5"/>
        <v>0.12230691359999994</v>
      </c>
      <c r="O46" s="5">
        <f t="shared" si="6"/>
        <v>1071.4729966888924</v>
      </c>
      <c r="Z46" s="1" t="e">
        <f t="shared" si="7"/>
        <v>#DIV/0!</v>
      </c>
    </row>
    <row r="47" spans="1:26" x14ac:dyDescent="0.3">
      <c r="A47" s="8">
        <v>3</v>
      </c>
      <c r="B47" s="8">
        <v>-3</v>
      </c>
      <c r="C47" s="30">
        <v>2.6940690119999999</v>
      </c>
      <c r="D47" s="30">
        <v>-2.3332365880000001</v>
      </c>
      <c r="E47" s="2">
        <f t="shared" si="0"/>
        <v>5.6940690119999999</v>
      </c>
      <c r="F47" s="2">
        <f t="shared" si="1"/>
        <v>0.66676341199999989</v>
      </c>
      <c r="G47" s="8">
        <v>100</v>
      </c>
      <c r="H47" s="9">
        <v>100000</v>
      </c>
      <c r="I47" s="9">
        <f t="shared" si="2"/>
        <v>3.0593098800000009E-3</v>
      </c>
      <c r="J47" s="9">
        <f t="shared" si="3"/>
        <v>2.3332365879999999E-5</v>
      </c>
      <c r="K47" s="5">
        <f t="shared" si="4"/>
        <v>131.11871705313757</v>
      </c>
      <c r="L47" s="55"/>
      <c r="M47" s="16">
        <f>L42/I47</f>
        <v>326871.10466887377</v>
      </c>
      <c r="N47" s="9">
        <f t="shared" si="5"/>
        <v>0.12237239520000003</v>
      </c>
      <c r="O47" s="5">
        <f t="shared" si="6"/>
        <v>1071.4729971481145</v>
      </c>
      <c r="Z47" s="1" t="e">
        <f t="shared" si="7"/>
        <v>#DIV/0!</v>
      </c>
    </row>
    <row r="48" spans="1:26" x14ac:dyDescent="0.3">
      <c r="A48" s="8">
        <v>3.5</v>
      </c>
      <c r="B48" s="8">
        <v>-3</v>
      </c>
      <c r="C48" s="30">
        <v>3.1939053070000001</v>
      </c>
      <c r="D48" s="30">
        <v>-2.3332365880000001</v>
      </c>
      <c r="E48" s="2">
        <f t="shared" si="0"/>
        <v>6.1939053069999996</v>
      </c>
      <c r="F48" s="2">
        <f t="shared" si="1"/>
        <v>0.66676341199999989</v>
      </c>
      <c r="G48" s="8">
        <v>100</v>
      </c>
      <c r="H48" s="9">
        <v>100000</v>
      </c>
      <c r="I48" s="9">
        <f t="shared" si="2"/>
        <v>3.060946929999999E-3</v>
      </c>
      <c r="J48" s="9">
        <f t="shared" si="3"/>
        <v>2.3332365879999999E-5</v>
      </c>
      <c r="K48" s="5">
        <f t="shared" si="4"/>
        <v>131.18887924793674</v>
      </c>
      <c r="L48" s="55"/>
      <c r="M48" s="16">
        <f>L42/I48</f>
        <v>326696.28806664748</v>
      </c>
      <c r="N48" s="9">
        <f t="shared" si="5"/>
        <v>0.12243787719999996</v>
      </c>
      <c r="O48" s="5">
        <f t="shared" si="6"/>
        <v>1071.4729971481145</v>
      </c>
      <c r="Z48" s="1" t="e">
        <f t="shared" si="7"/>
        <v>#DIV/0!</v>
      </c>
    </row>
    <row r="49" spans="1:26" x14ac:dyDescent="0.3">
      <c r="A49" s="8">
        <v>4</v>
      </c>
      <c r="B49" s="8">
        <v>-3</v>
      </c>
      <c r="C49" s="30">
        <v>3.6937416029999999</v>
      </c>
      <c r="D49" s="30">
        <v>-2.3332365880000001</v>
      </c>
      <c r="E49" s="2">
        <f t="shared" si="0"/>
        <v>6.6937416029999994</v>
      </c>
      <c r="F49" s="2">
        <f t="shared" si="1"/>
        <v>0.66676341199999989</v>
      </c>
      <c r="G49" s="8">
        <v>100</v>
      </c>
      <c r="H49" s="9">
        <v>100000</v>
      </c>
      <c r="I49" s="9">
        <f t="shared" si="2"/>
        <v>3.0625839700000011E-3</v>
      </c>
      <c r="J49" s="9">
        <f t="shared" si="3"/>
        <v>2.3332365879999999E-5</v>
      </c>
      <c r="K49" s="5">
        <f t="shared" si="4"/>
        <v>131.25904101414687</v>
      </c>
      <c r="L49" s="55"/>
      <c r="M49" s="16">
        <f>L42/I49</f>
        <v>326521.65942081896</v>
      </c>
      <c r="N49" s="9">
        <f t="shared" si="5"/>
        <v>0.12250335880000005</v>
      </c>
      <c r="O49" s="5">
        <f t="shared" si="6"/>
        <v>1071.4729971481145</v>
      </c>
      <c r="Z49" s="1" t="e">
        <f t="shared" si="7"/>
        <v>#DIV/0!</v>
      </c>
    </row>
    <row r="50" spans="1:26" x14ac:dyDescent="0.3">
      <c r="A50" s="8">
        <v>4.5</v>
      </c>
      <c r="B50" s="8">
        <v>-3</v>
      </c>
      <c r="C50" s="30">
        <v>4.193577898</v>
      </c>
      <c r="D50" s="30">
        <v>-2.3332365880000001</v>
      </c>
      <c r="E50" s="2">
        <f t="shared" si="0"/>
        <v>7.193577898</v>
      </c>
      <c r="F50" s="2">
        <f t="shared" si="1"/>
        <v>0.66676341199999989</v>
      </c>
      <c r="G50" s="8">
        <v>100</v>
      </c>
      <c r="H50" s="9">
        <v>100000</v>
      </c>
      <c r="I50" s="9">
        <f t="shared" si="2"/>
        <v>3.0642210199999997E-3</v>
      </c>
      <c r="J50" s="9">
        <f t="shared" si="3"/>
        <v>2.3332365879999999E-5</v>
      </c>
      <c r="K50" s="5">
        <f t="shared" si="4"/>
        <v>131.32920320894607</v>
      </c>
      <c r="L50" s="55"/>
      <c r="M50" s="16">
        <f>L42/I50</f>
        <v>326347.2162983857</v>
      </c>
      <c r="N50" s="9">
        <f t="shared" si="5"/>
        <v>0.12256884079999998</v>
      </c>
      <c r="O50" s="5">
        <f t="shared" si="6"/>
        <v>1071.4729971481145</v>
      </c>
      <c r="Z50" s="1" t="e">
        <f t="shared" si="7"/>
        <v>#DIV/0!</v>
      </c>
    </row>
    <row r="51" spans="1:26" x14ac:dyDescent="0.3">
      <c r="A51" s="8">
        <v>5</v>
      </c>
      <c r="B51" s="8">
        <v>-3</v>
      </c>
      <c r="C51" s="30">
        <v>4.6934141939999998</v>
      </c>
      <c r="D51" s="30">
        <v>-2.3332365880000001</v>
      </c>
      <c r="E51" s="2">
        <f t="shared" si="0"/>
        <v>7.6934141939999998</v>
      </c>
      <c r="F51" s="2">
        <f t="shared" si="1"/>
        <v>0.66676341199999989</v>
      </c>
      <c r="G51" s="8">
        <v>100</v>
      </c>
      <c r="H51" s="9">
        <v>100000</v>
      </c>
      <c r="I51" s="9">
        <f t="shared" si="2"/>
        <v>3.0658580600000018E-3</v>
      </c>
      <c r="J51" s="9">
        <f t="shared" si="3"/>
        <v>2.3332365879999999E-5</v>
      </c>
      <c r="K51" s="5">
        <f t="shared" si="4"/>
        <v>131.3993649751562</v>
      </c>
      <c r="L51" s="55"/>
      <c r="M51" s="16">
        <f>L42/I51</f>
        <v>326172.96053164295</v>
      </c>
      <c r="N51" s="9">
        <f t="shared" si="5"/>
        <v>0.12263432240000006</v>
      </c>
      <c r="O51" s="5">
        <f t="shared" si="6"/>
        <v>1071.4729971481145</v>
      </c>
      <c r="Z51" s="1" t="e">
        <f t="shared" si="7"/>
        <v>#DIV/0!</v>
      </c>
    </row>
    <row r="52" spans="1:26" x14ac:dyDescent="0.3">
      <c r="A52" s="21">
        <v>0.5</v>
      </c>
      <c r="B52" s="21">
        <v>-2.5</v>
      </c>
      <c r="C52" s="31">
        <v>0.26195286499999998</v>
      </c>
      <c r="D52" s="31">
        <v>-1.843853629</v>
      </c>
      <c r="E52" s="25">
        <f t="shared" si="0"/>
        <v>2.761952865</v>
      </c>
      <c r="F52" s="25">
        <f t="shared" si="1"/>
        <v>0.65614637099999995</v>
      </c>
      <c r="G52" s="21">
        <v>100</v>
      </c>
      <c r="H52" s="22">
        <v>100000</v>
      </c>
      <c r="I52" s="22">
        <f t="shared" si="2"/>
        <v>2.3804713500000002E-3</v>
      </c>
      <c r="J52" s="22">
        <f t="shared" si="3"/>
        <v>1.843853629E-5</v>
      </c>
      <c r="K52" s="23">
        <f t="shared" si="4"/>
        <v>129.10305419910316</v>
      </c>
      <c r="L52" s="56">
        <f>Z53</f>
        <v>799.99999999999989</v>
      </c>
      <c r="M52" s="24">
        <f>L52/I52</f>
        <v>336067.8968053952</v>
      </c>
      <c r="N52" s="22">
        <f t="shared" si="5"/>
        <v>9.5218854000000006E-2</v>
      </c>
      <c r="O52" s="23">
        <f t="shared" si="6"/>
        <v>1355.8559967451733</v>
      </c>
      <c r="Z52" s="1" t="e">
        <f t="shared" si="7"/>
        <v>#DIV/0!</v>
      </c>
    </row>
    <row r="53" spans="1:26" x14ac:dyDescent="0.3">
      <c r="A53" s="21">
        <v>1</v>
      </c>
      <c r="B53" s="21">
        <v>-2.5</v>
      </c>
      <c r="C53" s="31">
        <v>0.76182523000000002</v>
      </c>
      <c r="D53" s="31">
        <v>-1.843853629</v>
      </c>
      <c r="E53" s="25">
        <f t="shared" si="0"/>
        <v>3.2618252299999999</v>
      </c>
      <c r="F53" s="25">
        <f t="shared" si="1"/>
        <v>0.65614637099999995</v>
      </c>
      <c r="G53" s="21">
        <v>100</v>
      </c>
      <c r="H53" s="22">
        <v>100000</v>
      </c>
      <c r="I53" s="22">
        <f t="shared" si="2"/>
        <v>2.3817476999999998E-3</v>
      </c>
      <c r="J53" s="22">
        <f t="shared" si="3"/>
        <v>1.843853629E-5</v>
      </c>
      <c r="K53" s="23">
        <f t="shared" si="4"/>
        <v>129.17227607116095</v>
      </c>
      <c r="L53" s="56"/>
      <c r="M53" s="24">
        <f>L52/I53</f>
        <v>335887.80205392867</v>
      </c>
      <c r="N53" s="22">
        <f t="shared" si="5"/>
        <v>9.5269907999999986E-2</v>
      </c>
      <c r="O53" s="23">
        <f t="shared" si="6"/>
        <v>1355.8559967451733</v>
      </c>
      <c r="X53" s="38">
        <v>3.0000000000000001E-6</v>
      </c>
      <c r="Y53" s="37">
        <v>2.3999999999999998E-3</v>
      </c>
      <c r="Z53" s="37">
        <f t="shared" si="7"/>
        <v>799.99999999999989</v>
      </c>
    </row>
    <row r="54" spans="1:26" x14ac:dyDescent="0.3">
      <c r="A54" s="21">
        <v>1.5</v>
      </c>
      <c r="B54" s="21">
        <v>-2.5</v>
      </c>
      <c r="C54" s="31">
        <v>1.2616975960000001</v>
      </c>
      <c r="D54" s="31">
        <v>-1.843853629</v>
      </c>
      <c r="E54" s="25">
        <f t="shared" si="0"/>
        <v>3.7616975960000003</v>
      </c>
      <c r="F54" s="25">
        <f t="shared" si="1"/>
        <v>0.65614637099999995</v>
      </c>
      <c r="G54" s="21">
        <v>100</v>
      </c>
      <c r="H54" s="22">
        <v>100000</v>
      </c>
      <c r="I54" s="22">
        <f t="shared" si="2"/>
        <v>2.3830240399999991E-3</v>
      </c>
      <c r="J54" s="22">
        <f t="shared" si="3"/>
        <v>1.843853629E-5</v>
      </c>
      <c r="K54" s="23">
        <f t="shared" si="4"/>
        <v>129.24149740087634</v>
      </c>
      <c r="L54" s="56"/>
      <c r="M54" s="24">
        <f>L52/I54</f>
        <v>335707.90162905795</v>
      </c>
      <c r="N54" s="22">
        <f t="shared" si="5"/>
        <v>9.5320961599999962E-2</v>
      </c>
      <c r="O54" s="23">
        <f t="shared" si="6"/>
        <v>1355.8559967451733</v>
      </c>
      <c r="Z54" s="1" t="e">
        <f t="shared" si="7"/>
        <v>#DIV/0!</v>
      </c>
    </row>
    <row r="55" spans="1:26" x14ac:dyDescent="0.3">
      <c r="A55" s="21">
        <v>2</v>
      </c>
      <c r="B55" s="21">
        <v>-2.5</v>
      </c>
      <c r="C55" s="31">
        <v>1.761569962</v>
      </c>
      <c r="D55" s="31">
        <v>-1.843853628</v>
      </c>
      <c r="E55" s="25">
        <f t="shared" si="0"/>
        <v>4.2615699620000003</v>
      </c>
      <c r="F55" s="25">
        <f t="shared" si="1"/>
        <v>0.65614637200000003</v>
      </c>
      <c r="G55" s="21">
        <v>100</v>
      </c>
      <c r="H55" s="22">
        <v>100000</v>
      </c>
      <c r="I55" s="22">
        <f t="shared" si="2"/>
        <v>2.3843003799999996E-3</v>
      </c>
      <c r="J55" s="22">
        <f t="shared" si="3"/>
        <v>1.843853628E-5</v>
      </c>
      <c r="K55" s="23">
        <f t="shared" si="4"/>
        <v>129.31071880072247</v>
      </c>
      <c r="L55" s="56"/>
      <c r="M55" s="24">
        <f>L52/I55</f>
        <v>335528.19380920456</v>
      </c>
      <c r="N55" s="22">
        <f t="shared" si="5"/>
        <v>9.5372015199999979E-2</v>
      </c>
      <c r="O55" s="23">
        <f t="shared" si="6"/>
        <v>1355.8559974805116</v>
      </c>
      <c r="Z55" s="1" t="e">
        <f t="shared" si="7"/>
        <v>#DIV/0!</v>
      </c>
    </row>
    <row r="56" spans="1:26" x14ac:dyDescent="0.3">
      <c r="A56" s="21">
        <v>2.5</v>
      </c>
      <c r="B56" s="21">
        <v>-2.5</v>
      </c>
      <c r="C56" s="31">
        <v>2.2614423279999998</v>
      </c>
      <c r="D56" s="31">
        <v>-1.843853628</v>
      </c>
      <c r="E56" s="25">
        <f t="shared" si="0"/>
        <v>4.7614423279999993</v>
      </c>
      <c r="F56" s="25">
        <f t="shared" si="1"/>
        <v>0.65614637200000003</v>
      </c>
      <c r="G56" s="21">
        <v>100</v>
      </c>
      <c r="H56" s="22">
        <v>100000</v>
      </c>
      <c r="I56" s="22">
        <f t="shared" si="2"/>
        <v>2.3855767200000023E-3</v>
      </c>
      <c r="J56" s="22">
        <f t="shared" si="3"/>
        <v>1.843853628E-5</v>
      </c>
      <c r="K56" s="23">
        <f t="shared" si="4"/>
        <v>129.3799401304756</v>
      </c>
      <c r="L56" s="56"/>
      <c r="M56" s="24">
        <f>L52/I56</f>
        <v>335348.67828522366</v>
      </c>
      <c r="N56" s="22">
        <f t="shared" si="5"/>
        <v>9.542306880000008E-2</v>
      </c>
      <c r="O56" s="23">
        <f t="shared" si="6"/>
        <v>1355.8559974805116</v>
      </c>
      <c r="Z56" s="1" t="e">
        <f t="shared" si="7"/>
        <v>#DIV/0!</v>
      </c>
    </row>
    <row r="57" spans="1:26" x14ac:dyDescent="0.3">
      <c r="A57" s="21">
        <v>3</v>
      </c>
      <c r="B57" s="21">
        <v>-2.5</v>
      </c>
      <c r="C57" s="31">
        <v>2.7613146940000002</v>
      </c>
      <c r="D57" s="31">
        <v>-1.843853628</v>
      </c>
      <c r="E57" s="25">
        <f t="shared" si="0"/>
        <v>5.2613146940000002</v>
      </c>
      <c r="F57" s="25">
        <f t="shared" si="1"/>
        <v>0.65614637200000003</v>
      </c>
      <c r="G57" s="21">
        <v>100</v>
      </c>
      <c r="H57" s="22">
        <v>100000</v>
      </c>
      <c r="I57" s="22">
        <f t="shared" si="2"/>
        <v>2.386853059999998E-3</v>
      </c>
      <c r="J57" s="22">
        <f t="shared" si="3"/>
        <v>1.843853628E-5</v>
      </c>
      <c r="K57" s="23">
        <f t="shared" si="4"/>
        <v>129.44916146022834</v>
      </c>
      <c r="L57" s="56"/>
      <c r="M57" s="24">
        <f>L52/I57</f>
        <v>335169.35474863317</v>
      </c>
      <c r="N57" s="22">
        <f t="shared" si="5"/>
        <v>9.5474122399999917E-2</v>
      </c>
      <c r="O57" s="23">
        <f t="shared" si="6"/>
        <v>1355.8559974805116</v>
      </c>
      <c r="Z57" s="1" t="e">
        <f t="shared" si="7"/>
        <v>#DIV/0!</v>
      </c>
    </row>
    <row r="58" spans="1:26" x14ac:dyDescent="0.3">
      <c r="A58" s="21">
        <v>3.5</v>
      </c>
      <c r="B58" s="21">
        <v>-2.5</v>
      </c>
      <c r="C58" s="31">
        <v>3.2611870590000001</v>
      </c>
      <c r="D58" s="31">
        <v>-1.8438536270000001</v>
      </c>
      <c r="E58" s="25">
        <f t="shared" si="0"/>
        <v>5.7611870590000001</v>
      </c>
      <c r="F58" s="25">
        <f t="shared" si="1"/>
        <v>0.65614637299999989</v>
      </c>
      <c r="G58" s="21">
        <v>100</v>
      </c>
      <c r="H58" s="22">
        <v>100000</v>
      </c>
      <c r="I58" s="22">
        <f t="shared" si="2"/>
        <v>2.3881294099999993E-3</v>
      </c>
      <c r="J58" s="22">
        <f t="shared" si="3"/>
        <v>1.843853627E-5</v>
      </c>
      <c r="K58" s="23">
        <f t="shared" si="4"/>
        <v>129.51838340256708</v>
      </c>
      <c r="L58" s="56"/>
      <c r="M58" s="24">
        <f>L52/I58</f>
        <v>334990.22148887656</v>
      </c>
      <c r="N58" s="22">
        <f t="shared" si="5"/>
        <v>9.5525176399999967E-2</v>
      </c>
      <c r="O58" s="23">
        <f t="shared" si="6"/>
        <v>1355.8559982158497</v>
      </c>
      <c r="Z58" s="1" t="e">
        <f t="shared" si="7"/>
        <v>#DIV/0!</v>
      </c>
    </row>
    <row r="59" spans="1:26" x14ac:dyDescent="0.3">
      <c r="A59" s="21">
        <v>4</v>
      </c>
      <c r="B59" s="21">
        <v>-2.5</v>
      </c>
      <c r="C59" s="31">
        <v>3.761059425</v>
      </c>
      <c r="D59" s="31">
        <v>-1.8438536270000001</v>
      </c>
      <c r="E59" s="25">
        <f t="shared" si="0"/>
        <v>6.261059425</v>
      </c>
      <c r="F59" s="25">
        <f t="shared" si="1"/>
        <v>0.65614637299999989</v>
      </c>
      <c r="G59" s="21">
        <v>100</v>
      </c>
      <c r="H59" s="22">
        <v>100000</v>
      </c>
      <c r="I59" s="22">
        <f t="shared" si="2"/>
        <v>2.3894057499999999E-3</v>
      </c>
      <c r="J59" s="22">
        <f t="shared" si="3"/>
        <v>1.843853627E-5</v>
      </c>
      <c r="K59" s="23">
        <f t="shared" si="4"/>
        <v>129.58760473235762</v>
      </c>
      <c r="L59" s="56"/>
      <c r="M59" s="24">
        <f>L52/I59</f>
        <v>334811.28100574797</v>
      </c>
      <c r="N59" s="22">
        <f t="shared" si="5"/>
        <v>9.5576229999999984E-2</v>
      </c>
      <c r="O59" s="23">
        <f t="shared" si="6"/>
        <v>1355.8559982158497</v>
      </c>
      <c r="Z59" s="1" t="e">
        <f t="shared" si="7"/>
        <v>#DIV/0!</v>
      </c>
    </row>
    <row r="60" spans="1:26" x14ac:dyDescent="0.3">
      <c r="A60" s="21">
        <v>4.5</v>
      </c>
      <c r="B60" s="21">
        <v>-2.5</v>
      </c>
      <c r="C60" s="31">
        <v>4.260931791</v>
      </c>
      <c r="D60" s="31">
        <v>-1.8438536270000001</v>
      </c>
      <c r="E60" s="25">
        <f t="shared" si="0"/>
        <v>6.760931791</v>
      </c>
      <c r="F60" s="25">
        <f t="shared" si="1"/>
        <v>0.65614637299999989</v>
      </c>
      <c r="G60" s="21">
        <v>100</v>
      </c>
      <c r="H60" s="22">
        <v>100000</v>
      </c>
      <c r="I60" s="22">
        <f t="shared" si="2"/>
        <v>2.3906820900000004E-3</v>
      </c>
      <c r="J60" s="22">
        <f t="shared" si="3"/>
        <v>1.843853627E-5</v>
      </c>
      <c r="K60" s="23">
        <f t="shared" si="4"/>
        <v>129.65682606214818</v>
      </c>
      <c r="L60" s="56"/>
      <c r="M60" s="24">
        <f>L52/I60</f>
        <v>334632.53158850566</v>
      </c>
      <c r="N60" s="22">
        <f t="shared" si="5"/>
        <v>9.5627283600000015E-2</v>
      </c>
      <c r="O60" s="23">
        <f t="shared" si="6"/>
        <v>1355.8559982158497</v>
      </c>
      <c r="Z60" s="1" t="e">
        <f t="shared" si="7"/>
        <v>#DIV/0!</v>
      </c>
    </row>
    <row r="61" spans="1:26" x14ac:dyDescent="0.3">
      <c r="A61" s="21">
        <v>5</v>
      </c>
      <c r="B61" s="21">
        <v>-2.5</v>
      </c>
      <c r="C61" s="31">
        <v>4.7608041569999999</v>
      </c>
      <c r="D61" s="31">
        <v>-1.843853626</v>
      </c>
      <c r="E61" s="25">
        <f t="shared" si="0"/>
        <v>7.2608041569999999</v>
      </c>
      <c r="F61" s="25">
        <f t="shared" si="1"/>
        <v>0.65614637399999998</v>
      </c>
      <c r="G61" s="21">
        <v>100</v>
      </c>
      <c r="H61" s="22">
        <v>100000</v>
      </c>
      <c r="I61" s="22">
        <f t="shared" si="2"/>
        <v>2.3919584300000009E-3</v>
      </c>
      <c r="J61" s="22">
        <f t="shared" si="3"/>
        <v>1.843853626E-5</v>
      </c>
      <c r="K61" s="23">
        <f t="shared" si="4"/>
        <v>129.72604746229464</v>
      </c>
      <c r="L61" s="56"/>
      <c r="M61" s="24">
        <f>L52/I61</f>
        <v>334453.9729312936</v>
      </c>
      <c r="N61" s="22">
        <f t="shared" si="5"/>
        <v>9.5678337200000033E-2</v>
      </c>
      <c r="O61" s="23">
        <f t="shared" si="6"/>
        <v>1355.855998951188</v>
      </c>
      <c r="Z61" s="1" t="e">
        <f t="shared" si="7"/>
        <v>#DIV/0!</v>
      </c>
    </row>
    <row r="62" spans="1:26" x14ac:dyDescent="0.3">
      <c r="A62" s="10">
        <v>0.5</v>
      </c>
      <c r="B62" s="10">
        <v>-2</v>
      </c>
      <c r="C62" s="32">
        <v>0.32996088499999998</v>
      </c>
      <c r="D62" s="32">
        <v>-1.3579447579999999</v>
      </c>
      <c r="E62" s="3">
        <f t="shared" si="0"/>
        <v>2.3299608850000002</v>
      </c>
      <c r="F62" s="3">
        <f t="shared" si="1"/>
        <v>0.64205524200000008</v>
      </c>
      <c r="G62" s="10">
        <v>100</v>
      </c>
      <c r="H62" s="11">
        <v>100000</v>
      </c>
      <c r="I62" s="11">
        <f t="shared" si="2"/>
        <v>1.7003911500000001E-3</v>
      </c>
      <c r="J62" s="11">
        <f t="shared" si="3"/>
        <v>1.3579447579999999E-5</v>
      </c>
      <c r="K62" s="6">
        <f t="shared" si="4"/>
        <v>125.2179913787038</v>
      </c>
      <c r="L62" s="52">
        <f>Z63</f>
        <v>850</v>
      </c>
      <c r="M62" s="17">
        <f>L62/I62</f>
        <v>499884.9823465618</v>
      </c>
      <c r="N62" s="11">
        <f t="shared" si="5"/>
        <v>6.8015645999999999E-2</v>
      </c>
      <c r="O62" s="6">
        <f t="shared" si="6"/>
        <v>1841.0174532298613</v>
      </c>
      <c r="Z62" s="1" t="e">
        <f t="shared" si="7"/>
        <v>#DIV/0!</v>
      </c>
    </row>
    <row r="63" spans="1:26" x14ac:dyDescent="0.3">
      <c r="A63" s="10">
        <v>1</v>
      </c>
      <c r="B63" s="10">
        <v>-2</v>
      </c>
      <c r="C63" s="32">
        <v>0.82986981400000004</v>
      </c>
      <c r="D63" s="32">
        <v>-1.357944759</v>
      </c>
      <c r="E63" s="3">
        <f t="shared" si="0"/>
        <v>2.8298698140000003</v>
      </c>
      <c r="F63" s="3">
        <f t="shared" si="1"/>
        <v>0.642055241</v>
      </c>
      <c r="G63" s="10">
        <v>100</v>
      </c>
      <c r="H63" s="11">
        <v>100000</v>
      </c>
      <c r="I63" s="11">
        <f t="shared" si="2"/>
        <v>1.7013018599999997E-3</v>
      </c>
      <c r="J63" s="11">
        <f t="shared" si="3"/>
        <v>1.3579447590000001E-5</v>
      </c>
      <c r="K63" s="6">
        <f t="shared" si="4"/>
        <v>125.2850566066362</v>
      </c>
      <c r="L63" s="52"/>
      <c r="M63" s="17">
        <f>L62/I63</f>
        <v>499617.39300044032</v>
      </c>
      <c r="N63" s="11">
        <f t="shared" si="5"/>
        <v>6.8052074399999982E-2</v>
      </c>
      <c r="O63" s="6">
        <f t="shared" si="6"/>
        <v>1841.017451874123</v>
      </c>
      <c r="X63" s="38">
        <v>1.9999999999999999E-6</v>
      </c>
      <c r="Y63" s="37">
        <v>1.6999999999999999E-3</v>
      </c>
      <c r="Z63" s="37">
        <f t="shared" si="7"/>
        <v>850</v>
      </c>
    </row>
    <row r="64" spans="1:26" x14ac:dyDescent="0.3">
      <c r="A64" s="10">
        <v>1.5</v>
      </c>
      <c r="B64" s="10">
        <v>-2</v>
      </c>
      <c r="C64" s="32">
        <v>1.329778742</v>
      </c>
      <c r="D64" s="32">
        <v>-1.3579447570000001</v>
      </c>
      <c r="E64" s="3">
        <f t="shared" si="0"/>
        <v>3.3297787420000002</v>
      </c>
      <c r="F64" s="3">
        <f t="shared" si="1"/>
        <v>0.64205524299999994</v>
      </c>
      <c r="G64" s="10">
        <v>100</v>
      </c>
      <c r="H64" s="11">
        <v>100000</v>
      </c>
      <c r="I64" s="11">
        <f t="shared" si="2"/>
        <v>1.7022125799999999E-3</v>
      </c>
      <c r="J64" s="11">
        <f t="shared" si="3"/>
        <v>1.3579447570000001E-5</v>
      </c>
      <c r="K64" s="6">
        <f t="shared" si="4"/>
        <v>125.35212284780741</v>
      </c>
      <c r="L64" s="52"/>
      <c r="M64" s="17">
        <f>L62/I64</f>
        <v>499350.08704964456</v>
      </c>
      <c r="N64" s="11">
        <f t="shared" si="5"/>
        <v>6.8088503199999997E-2</v>
      </c>
      <c r="O64" s="6">
        <f t="shared" si="6"/>
        <v>1841.0174545855991</v>
      </c>
      <c r="Z64" s="1" t="e">
        <f t="shared" si="7"/>
        <v>#DIV/0!</v>
      </c>
    </row>
    <row r="65" spans="1:26" x14ac:dyDescent="0.3">
      <c r="A65" s="10">
        <v>2</v>
      </c>
      <c r="B65" s="10">
        <v>-2</v>
      </c>
      <c r="C65" s="32">
        <v>1.8296876710000001</v>
      </c>
      <c r="D65" s="32">
        <v>-1.3579447529999999</v>
      </c>
      <c r="E65" s="3">
        <f t="shared" si="0"/>
        <v>3.8296876710000003</v>
      </c>
      <c r="F65" s="3">
        <f t="shared" si="1"/>
        <v>0.64205524700000005</v>
      </c>
      <c r="G65" s="10">
        <v>100</v>
      </c>
      <c r="H65" s="11">
        <v>100000</v>
      </c>
      <c r="I65" s="11">
        <f t="shared" si="2"/>
        <v>1.7031232899999992E-3</v>
      </c>
      <c r="J65" s="11">
        <f t="shared" si="3"/>
        <v>1.357944753E-5</v>
      </c>
      <c r="K65" s="6">
        <f t="shared" si="4"/>
        <v>125.41918853748825</v>
      </c>
      <c r="L65" s="52"/>
      <c r="M65" s="17">
        <f>L62/I65</f>
        <v>499083.06990505685</v>
      </c>
      <c r="N65" s="11">
        <f t="shared" si="5"/>
        <v>6.8124931599999966E-2</v>
      </c>
      <c r="O65" s="6">
        <f t="shared" si="6"/>
        <v>1841.0174600085518</v>
      </c>
      <c r="Z65" s="1" t="e">
        <f t="shared" si="7"/>
        <v>#DIV/0!</v>
      </c>
    </row>
    <row r="66" spans="1:26" x14ac:dyDescent="0.3">
      <c r="A66" s="10">
        <v>2.5</v>
      </c>
      <c r="B66" s="10">
        <v>-2</v>
      </c>
      <c r="C66" s="32">
        <v>2.3295965989999998</v>
      </c>
      <c r="D66" s="32">
        <v>-1.357944745</v>
      </c>
      <c r="E66" s="3">
        <f t="shared" ref="E66:E91" si="8">C66-B66</f>
        <v>4.3295965990000003</v>
      </c>
      <c r="F66" s="3">
        <f t="shared" ref="F66:F91" si="9">D66-B66</f>
        <v>0.64205525500000005</v>
      </c>
      <c r="G66" s="10">
        <v>100</v>
      </c>
      <c r="H66" s="11">
        <v>100000</v>
      </c>
      <c r="I66" s="11">
        <f t="shared" ref="I66:I91" si="10">(A66-C66)/G66</f>
        <v>1.7040340100000018E-3</v>
      </c>
      <c r="J66" s="11">
        <f t="shared" ref="J66:J91" si="11">(0-D66)/H66</f>
        <v>1.357944745E-5</v>
      </c>
      <c r="K66" s="6">
        <f t="shared" ref="K66:K91" si="12">I66/J66</f>
        <v>125.48625533360725</v>
      </c>
      <c r="L66" s="52"/>
      <c r="M66" s="17">
        <f>L62/I66</f>
        <v>498816.33524438814</v>
      </c>
      <c r="N66" s="11">
        <f t="shared" ref="N66:N91" si="13">I66/0.025</f>
        <v>6.8161360400000065E-2</v>
      </c>
      <c r="O66" s="6">
        <f t="shared" ref="O66:O91" si="14">0.025/J66</f>
        <v>1841.0174708544566</v>
      </c>
      <c r="Z66" s="1" t="e">
        <f t="shared" si="7"/>
        <v>#DIV/0!</v>
      </c>
    </row>
    <row r="67" spans="1:26" x14ac:dyDescent="0.3">
      <c r="A67" s="10">
        <v>3</v>
      </c>
      <c r="B67" s="10">
        <v>-2</v>
      </c>
      <c r="C67" s="32">
        <v>2.8295055269999998</v>
      </c>
      <c r="D67" s="32">
        <v>-1.3579447579999999</v>
      </c>
      <c r="E67" s="3">
        <f t="shared" si="8"/>
        <v>4.8295055270000002</v>
      </c>
      <c r="F67" s="3">
        <f t="shared" si="9"/>
        <v>0.64205524200000008</v>
      </c>
      <c r="G67" s="10">
        <v>100</v>
      </c>
      <c r="H67" s="11">
        <v>100000</v>
      </c>
      <c r="I67" s="11">
        <f t="shared" si="10"/>
        <v>1.704944730000002E-3</v>
      </c>
      <c r="J67" s="11">
        <f t="shared" si="11"/>
        <v>1.3579447579999999E-5</v>
      </c>
      <c r="K67" s="6">
        <f t="shared" si="12"/>
        <v>125.55332018889108</v>
      </c>
      <c r="L67" s="52"/>
      <c r="M67" s="17">
        <f>L62/I67</f>
        <v>498549.88554379647</v>
      </c>
      <c r="N67" s="11">
        <f t="shared" si="13"/>
        <v>6.8197789200000081E-2</v>
      </c>
      <c r="O67" s="6">
        <f t="shared" si="14"/>
        <v>1841.0174532298613</v>
      </c>
      <c r="Z67" s="1" t="e">
        <f t="shared" si="7"/>
        <v>#DIV/0!</v>
      </c>
    </row>
    <row r="68" spans="1:26" x14ac:dyDescent="0.3">
      <c r="A68" s="10">
        <v>3.5</v>
      </c>
      <c r="B68" s="10">
        <v>-2</v>
      </c>
      <c r="C68" s="32">
        <v>3.3294144559999999</v>
      </c>
      <c r="D68" s="32">
        <v>-1.3579447440000001</v>
      </c>
      <c r="E68" s="3">
        <f t="shared" si="8"/>
        <v>5.3294144560000003</v>
      </c>
      <c r="F68" s="3">
        <f t="shared" si="9"/>
        <v>0.64205525599999991</v>
      </c>
      <c r="G68" s="10">
        <v>100</v>
      </c>
      <c r="H68" s="11">
        <v>100000</v>
      </c>
      <c r="I68" s="11">
        <f t="shared" si="10"/>
        <v>1.7058554400000015E-3</v>
      </c>
      <c r="J68" s="11">
        <f t="shared" si="11"/>
        <v>1.357944744E-5</v>
      </c>
      <c r="K68" s="6">
        <f t="shared" si="12"/>
        <v>125.62038680419249</v>
      </c>
      <c r="L68" s="52"/>
      <c r="M68" s="17">
        <f>L62/I68</f>
        <v>498283.72326789849</v>
      </c>
      <c r="N68" s="11">
        <f t="shared" si="13"/>
        <v>6.8234217600000063E-2</v>
      </c>
      <c r="O68" s="6">
        <f t="shared" si="14"/>
        <v>1841.0174722101949</v>
      </c>
      <c r="Z68" s="1" t="e">
        <f t="shared" si="7"/>
        <v>#DIV/0!</v>
      </c>
    </row>
    <row r="69" spans="1:26" x14ac:dyDescent="0.3">
      <c r="A69" s="10">
        <v>4</v>
      </c>
      <c r="B69" s="10">
        <v>-2</v>
      </c>
      <c r="C69" s="32">
        <v>3.8293233839999998</v>
      </c>
      <c r="D69" s="32">
        <v>-1.3579447579999999</v>
      </c>
      <c r="E69" s="3">
        <f t="shared" si="8"/>
        <v>5.8293233840000003</v>
      </c>
      <c r="F69" s="3">
        <f t="shared" si="9"/>
        <v>0.64205524200000008</v>
      </c>
      <c r="G69" s="10">
        <v>100</v>
      </c>
      <c r="H69" s="11">
        <v>100000</v>
      </c>
      <c r="I69" s="11">
        <f t="shared" si="10"/>
        <v>1.7067661600000017E-3</v>
      </c>
      <c r="J69" s="11">
        <f t="shared" si="11"/>
        <v>1.3579447579999999E-5</v>
      </c>
      <c r="K69" s="6">
        <f t="shared" si="12"/>
        <v>125.68745156568451</v>
      </c>
      <c r="L69" s="52"/>
      <c r="M69" s="17">
        <f>L62/I69</f>
        <v>498017.84211610991</v>
      </c>
      <c r="N69" s="11">
        <f t="shared" si="13"/>
        <v>6.8270646400000065E-2</v>
      </c>
      <c r="O69" s="6">
        <f t="shared" si="14"/>
        <v>1841.0174532298613</v>
      </c>
      <c r="Z69" s="1" t="e">
        <f t="shared" si="7"/>
        <v>#DIV/0!</v>
      </c>
    </row>
    <row r="70" spans="1:26" x14ac:dyDescent="0.3">
      <c r="A70" s="10">
        <v>4.5</v>
      </c>
      <c r="B70" s="10">
        <v>-2</v>
      </c>
      <c r="C70" s="32">
        <v>4.3292323130000003</v>
      </c>
      <c r="D70" s="32">
        <v>-1.3579447440000001</v>
      </c>
      <c r="E70" s="3">
        <f t="shared" si="8"/>
        <v>6.3292323130000003</v>
      </c>
      <c r="F70" s="3">
        <f t="shared" si="9"/>
        <v>0.64205525599999991</v>
      </c>
      <c r="G70" s="10">
        <v>100</v>
      </c>
      <c r="H70" s="11">
        <v>100000</v>
      </c>
      <c r="I70" s="11">
        <f t="shared" si="10"/>
        <v>1.7076768699999967E-3</v>
      </c>
      <c r="J70" s="11">
        <f t="shared" si="11"/>
        <v>1.357944744E-5</v>
      </c>
      <c r="K70" s="6">
        <f t="shared" si="12"/>
        <v>125.75451818236846</v>
      </c>
      <c r="L70" s="52"/>
      <c r="M70" s="17">
        <f>L62/I70</f>
        <v>497752.24747290841</v>
      </c>
      <c r="N70" s="11">
        <f t="shared" si="13"/>
        <v>6.8307074799999867E-2</v>
      </c>
      <c r="O70" s="6">
        <f t="shared" si="14"/>
        <v>1841.0174722101949</v>
      </c>
      <c r="Z70" s="1" t="e">
        <f t="shared" si="7"/>
        <v>#DIV/0!</v>
      </c>
    </row>
    <row r="71" spans="1:26" ht="15" thickBot="1" x14ac:dyDescent="0.35">
      <c r="A71" s="10">
        <v>5</v>
      </c>
      <c r="B71" s="10">
        <v>-2</v>
      </c>
      <c r="C71" s="43">
        <v>4.8291412410000003</v>
      </c>
      <c r="D71" s="43">
        <v>-1.3579447579999999</v>
      </c>
      <c r="E71" s="3">
        <f t="shared" si="8"/>
        <v>6.8291412410000003</v>
      </c>
      <c r="F71" s="3">
        <f t="shared" si="9"/>
        <v>0.64205524200000008</v>
      </c>
      <c r="G71" s="10">
        <v>100</v>
      </c>
      <c r="H71" s="11">
        <v>100000</v>
      </c>
      <c r="I71" s="11">
        <f t="shared" si="10"/>
        <v>1.7085875899999969E-3</v>
      </c>
      <c r="J71" s="11">
        <f t="shared" si="11"/>
        <v>1.3579447579999999E-5</v>
      </c>
      <c r="K71" s="6">
        <f t="shared" si="12"/>
        <v>125.82158294247762</v>
      </c>
      <c r="L71" s="52"/>
      <c r="M71" s="17">
        <f>L62/I71</f>
        <v>497486.93305211328</v>
      </c>
      <c r="N71" s="11">
        <f t="shared" si="13"/>
        <v>6.8343503599999869E-2</v>
      </c>
      <c r="O71" s="6">
        <f t="shared" si="14"/>
        <v>1841.0174532298613</v>
      </c>
      <c r="Z71" s="1" t="e">
        <f t="shared" ref="Z71:Z91" si="15">ABS(-Y71/X71)</f>
        <v>#DIV/0!</v>
      </c>
    </row>
    <row r="72" spans="1:26" ht="15" thickBot="1" x14ac:dyDescent="0.35">
      <c r="A72" s="45">
        <v>0.5</v>
      </c>
      <c r="B72" s="46">
        <v>-1.5</v>
      </c>
      <c r="C72" s="47">
        <v>0.39755829599999998</v>
      </c>
      <c r="D72" s="47">
        <v>-0.87868933100000002</v>
      </c>
      <c r="E72" s="48">
        <f t="shared" si="8"/>
        <v>1.8975582959999999</v>
      </c>
      <c r="F72" s="48">
        <f t="shared" si="9"/>
        <v>0.62131066899999998</v>
      </c>
      <c r="G72" s="46">
        <v>100</v>
      </c>
      <c r="H72" s="49">
        <v>100000</v>
      </c>
      <c r="I72" s="49">
        <f t="shared" si="10"/>
        <v>1.0244170400000002E-3</v>
      </c>
      <c r="J72" s="49">
        <f t="shared" si="11"/>
        <v>8.7868933099999993E-6</v>
      </c>
      <c r="K72" s="50">
        <f t="shared" si="12"/>
        <v>116.5846680799178</v>
      </c>
      <c r="L72" s="53">
        <f>Z73</f>
        <v>1000.0000000000001</v>
      </c>
      <c r="M72" s="51">
        <f>L72/I72</f>
        <v>976164.9415749663</v>
      </c>
      <c r="N72" s="49">
        <f t="shared" si="13"/>
        <v>4.0976681600000002E-2</v>
      </c>
      <c r="O72" s="50">
        <f t="shared" si="14"/>
        <v>2845.1466426192446</v>
      </c>
      <c r="Z72" s="1" t="e">
        <f t="shared" si="15"/>
        <v>#DIV/0!</v>
      </c>
    </row>
    <row r="73" spans="1:26" x14ac:dyDescent="0.3">
      <c r="A73" s="12">
        <v>1</v>
      </c>
      <c r="B73" s="12">
        <v>-1.5</v>
      </c>
      <c r="C73" s="44">
        <v>0.89750353000000005</v>
      </c>
      <c r="D73" s="44">
        <v>-0.87868933100000002</v>
      </c>
      <c r="E73" s="4">
        <f t="shared" si="8"/>
        <v>2.3975035299999998</v>
      </c>
      <c r="F73" s="4">
        <f t="shared" si="9"/>
        <v>0.62131066899999998</v>
      </c>
      <c r="G73" s="12">
        <v>100</v>
      </c>
      <c r="H73" s="13">
        <v>100000</v>
      </c>
      <c r="I73" s="13">
        <f t="shared" si="10"/>
        <v>1.0249646999999995E-3</v>
      </c>
      <c r="J73" s="13">
        <f t="shared" si="11"/>
        <v>8.7868933099999993E-6</v>
      </c>
      <c r="K73" s="7">
        <f t="shared" si="12"/>
        <v>116.6469950003296</v>
      </c>
      <c r="L73" s="54"/>
      <c r="M73" s="18">
        <f>L72/I73</f>
        <v>975643.35630290536</v>
      </c>
      <c r="N73" s="13">
        <f t="shared" si="13"/>
        <v>4.0998587999999982E-2</v>
      </c>
      <c r="O73" s="7">
        <f t="shared" si="14"/>
        <v>2845.1466426192446</v>
      </c>
      <c r="X73" s="38">
        <v>9.9999999999999995E-7</v>
      </c>
      <c r="Y73" s="37">
        <v>1E-3</v>
      </c>
      <c r="Z73" s="37">
        <f t="shared" si="15"/>
        <v>1000.0000000000001</v>
      </c>
    </row>
    <row r="74" spans="1:26" x14ac:dyDescent="0.3">
      <c r="A74" s="12">
        <v>1.5</v>
      </c>
      <c r="B74" s="12">
        <v>-1.5</v>
      </c>
      <c r="C74" s="33">
        <v>1.397448764</v>
      </c>
      <c r="D74" s="33">
        <v>-0.87868933100000002</v>
      </c>
      <c r="E74" s="4">
        <f t="shared" si="8"/>
        <v>2.897448764</v>
      </c>
      <c r="F74" s="4">
        <f t="shared" si="9"/>
        <v>0.62131066899999998</v>
      </c>
      <c r="G74" s="12">
        <v>100</v>
      </c>
      <c r="H74" s="13">
        <v>100000</v>
      </c>
      <c r="I74" s="13">
        <f t="shared" si="10"/>
        <v>1.0255123600000004E-3</v>
      </c>
      <c r="J74" s="13">
        <f t="shared" si="11"/>
        <v>8.7868933099999993E-6</v>
      </c>
      <c r="K74" s="7">
        <f t="shared" si="12"/>
        <v>116.70932192074157</v>
      </c>
      <c r="L74" s="54"/>
      <c r="M74" s="18">
        <f>L72/I74</f>
        <v>975122.32812094013</v>
      </c>
      <c r="N74" s="13">
        <f t="shared" si="13"/>
        <v>4.1020494400000017E-2</v>
      </c>
      <c r="O74" s="7">
        <f t="shared" si="14"/>
        <v>2845.1466426192446</v>
      </c>
      <c r="Z74" s="1" t="e">
        <f t="shared" si="15"/>
        <v>#DIV/0!</v>
      </c>
    </row>
    <row r="75" spans="1:26" x14ac:dyDescent="0.3">
      <c r="A75" s="12">
        <v>2</v>
      </c>
      <c r="B75" s="12">
        <v>-1.5</v>
      </c>
      <c r="C75" s="33">
        <v>1.8973939980000001</v>
      </c>
      <c r="D75" s="33">
        <v>-0.87868933100000002</v>
      </c>
      <c r="E75" s="4">
        <f t="shared" si="8"/>
        <v>3.3973939980000001</v>
      </c>
      <c r="F75" s="4">
        <f t="shared" si="9"/>
        <v>0.62131066899999998</v>
      </c>
      <c r="G75" s="12">
        <v>100</v>
      </c>
      <c r="H75" s="13">
        <v>100000</v>
      </c>
      <c r="I75" s="13">
        <f t="shared" si="10"/>
        <v>1.0260600199999991E-3</v>
      </c>
      <c r="J75" s="13">
        <f t="shared" si="11"/>
        <v>8.7868933099999993E-6</v>
      </c>
      <c r="K75" s="7">
        <f t="shared" si="12"/>
        <v>116.77164884115331</v>
      </c>
      <c r="L75" s="54"/>
      <c r="M75" s="18">
        <f>L72/I75</f>
        <v>974601.85613703274</v>
      </c>
      <c r="N75" s="13">
        <f t="shared" si="13"/>
        <v>4.1042400799999962E-2</v>
      </c>
      <c r="O75" s="7">
        <f t="shared" si="14"/>
        <v>2845.1466426192446</v>
      </c>
      <c r="Z75" s="1" t="e">
        <f t="shared" si="15"/>
        <v>#DIV/0!</v>
      </c>
    </row>
    <row r="76" spans="1:26" x14ac:dyDescent="0.3">
      <c r="A76" s="12">
        <v>2.5</v>
      </c>
      <c r="B76" s="12">
        <v>-1.5</v>
      </c>
      <c r="C76" s="33">
        <v>2.3973392320000002</v>
      </c>
      <c r="D76" s="33">
        <v>-0.87868933100000002</v>
      </c>
      <c r="E76" s="4">
        <f t="shared" si="8"/>
        <v>3.8973392320000002</v>
      </c>
      <c r="F76" s="4">
        <f t="shared" si="9"/>
        <v>0.62131066899999998</v>
      </c>
      <c r="G76" s="12">
        <v>100</v>
      </c>
      <c r="H76" s="13">
        <v>100000</v>
      </c>
      <c r="I76" s="13">
        <f t="shared" si="10"/>
        <v>1.0266076799999978E-3</v>
      </c>
      <c r="J76" s="13">
        <f t="shared" si="11"/>
        <v>8.7868933099999993E-6</v>
      </c>
      <c r="K76" s="7">
        <f t="shared" si="12"/>
        <v>116.83397576156503</v>
      </c>
      <c r="L76" s="54"/>
      <c r="M76" s="18">
        <f>L72/I76</f>
        <v>974081.93946104345</v>
      </c>
      <c r="N76" s="13">
        <f t="shared" si="13"/>
        <v>4.1064307199999914E-2</v>
      </c>
      <c r="O76" s="7">
        <f t="shared" si="14"/>
        <v>2845.1466426192446</v>
      </c>
      <c r="Z76" s="1" t="e">
        <f t="shared" si="15"/>
        <v>#DIV/0!</v>
      </c>
    </row>
    <row r="77" spans="1:26" x14ac:dyDescent="0.3">
      <c r="A77" s="12">
        <v>3</v>
      </c>
      <c r="B77" s="12">
        <v>-1.5</v>
      </c>
      <c r="C77" s="33">
        <v>2.8972844659999999</v>
      </c>
      <c r="D77" s="33">
        <v>-0.87868933000000005</v>
      </c>
      <c r="E77" s="4">
        <f t="shared" si="8"/>
        <v>4.3972844660000003</v>
      </c>
      <c r="F77" s="4">
        <f t="shared" si="9"/>
        <v>0.62131066999999995</v>
      </c>
      <c r="G77" s="12">
        <v>100</v>
      </c>
      <c r="H77" s="13">
        <v>100000</v>
      </c>
      <c r="I77" s="13">
        <f t="shared" si="10"/>
        <v>1.0271553400000011E-3</v>
      </c>
      <c r="J77" s="13">
        <f t="shared" si="11"/>
        <v>8.7868933000000012E-6</v>
      </c>
      <c r="K77" s="7">
        <f t="shared" si="12"/>
        <v>116.89630281501211</v>
      </c>
      <c r="L77" s="54"/>
      <c r="M77" s="18">
        <f>L72/I77</f>
        <v>973562.57720472838</v>
      </c>
      <c r="N77" s="13">
        <f t="shared" si="13"/>
        <v>4.1086213600000039E-2</v>
      </c>
      <c r="O77" s="7">
        <f t="shared" si="14"/>
        <v>2845.1466458571881</v>
      </c>
      <c r="Z77" s="1" t="e">
        <f t="shared" si="15"/>
        <v>#DIV/0!</v>
      </c>
    </row>
    <row r="78" spans="1:26" x14ac:dyDescent="0.3">
      <c r="A78" s="12">
        <v>3.5</v>
      </c>
      <c r="B78" s="12">
        <v>-1.5</v>
      </c>
      <c r="C78" s="33">
        <v>3.3972297</v>
      </c>
      <c r="D78" s="33">
        <v>-0.87868933000000005</v>
      </c>
      <c r="E78" s="4">
        <f t="shared" si="8"/>
        <v>4.8972297000000005</v>
      </c>
      <c r="F78" s="4">
        <f t="shared" si="9"/>
        <v>0.62131066999999995</v>
      </c>
      <c r="G78" s="12">
        <v>100</v>
      </c>
      <c r="H78" s="13">
        <v>100000</v>
      </c>
      <c r="I78" s="13">
        <f t="shared" si="10"/>
        <v>1.0277029999999998E-3</v>
      </c>
      <c r="J78" s="13">
        <f t="shared" si="11"/>
        <v>8.7868933000000012E-6</v>
      </c>
      <c r="K78" s="7">
        <f t="shared" si="12"/>
        <v>116.95862973549475</v>
      </c>
      <c r="L78" s="54"/>
      <c r="M78" s="18">
        <f>L72/I78</f>
        <v>973043.76848175039</v>
      </c>
      <c r="N78" s="13">
        <f t="shared" si="13"/>
        <v>4.1108119999999991E-2</v>
      </c>
      <c r="O78" s="7">
        <f t="shared" si="14"/>
        <v>2845.1466458571881</v>
      </c>
      <c r="Z78" s="1" t="e">
        <f t="shared" si="15"/>
        <v>#DIV/0!</v>
      </c>
    </row>
    <row r="79" spans="1:26" x14ac:dyDescent="0.3">
      <c r="A79" s="12">
        <v>4</v>
      </c>
      <c r="B79" s="12">
        <v>-1.5</v>
      </c>
      <c r="C79" s="33">
        <v>3.8971749349999998</v>
      </c>
      <c r="D79" s="33">
        <v>-0.87868933000000005</v>
      </c>
      <c r="E79" s="4">
        <f t="shared" si="8"/>
        <v>5.3971749349999998</v>
      </c>
      <c r="F79" s="4">
        <f t="shared" si="9"/>
        <v>0.62131066999999995</v>
      </c>
      <c r="G79" s="12">
        <v>100</v>
      </c>
      <c r="H79" s="13">
        <v>100000</v>
      </c>
      <c r="I79" s="13">
        <f t="shared" si="10"/>
        <v>1.0282506500000023E-3</v>
      </c>
      <c r="J79" s="13">
        <f t="shared" si="11"/>
        <v>8.7868933000000012E-6</v>
      </c>
      <c r="K79" s="7">
        <f t="shared" si="12"/>
        <v>117.02095551791919</v>
      </c>
      <c r="L79" s="54"/>
      <c r="M79" s="18">
        <f>L72/I79</f>
        <v>972525.52186570258</v>
      </c>
      <c r="N79" s="13">
        <f t="shared" si="13"/>
        <v>4.113002600000009E-2</v>
      </c>
      <c r="O79" s="7">
        <f t="shared" si="14"/>
        <v>2845.1466458571881</v>
      </c>
      <c r="Z79" s="1" t="e">
        <f t="shared" si="15"/>
        <v>#DIV/0!</v>
      </c>
    </row>
    <row r="80" spans="1:26" x14ac:dyDescent="0.3">
      <c r="A80" s="12">
        <v>4.5</v>
      </c>
      <c r="B80" s="12">
        <v>-1.5</v>
      </c>
      <c r="C80" s="33">
        <v>4.3971201689999999</v>
      </c>
      <c r="D80" s="33">
        <v>-0.87868933000000005</v>
      </c>
      <c r="E80" s="4">
        <f t="shared" si="8"/>
        <v>5.8971201689999999</v>
      </c>
      <c r="F80" s="4">
        <f t="shared" si="9"/>
        <v>0.62131066999999995</v>
      </c>
      <c r="G80" s="12">
        <v>100</v>
      </c>
      <c r="H80" s="13">
        <v>100000</v>
      </c>
      <c r="I80" s="13">
        <f t="shared" si="10"/>
        <v>1.028798310000001E-3</v>
      </c>
      <c r="J80" s="13">
        <f t="shared" si="11"/>
        <v>8.7868933000000012E-6</v>
      </c>
      <c r="K80" s="7">
        <f t="shared" si="12"/>
        <v>117.08328243840184</v>
      </c>
      <c r="L80" s="54"/>
      <c r="M80" s="18">
        <f>L72/I80</f>
        <v>972007.8175478332</v>
      </c>
      <c r="N80" s="13">
        <f t="shared" si="13"/>
        <v>4.1151932400000035E-2</v>
      </c>
      <c r="O80" s="7">
        <f t="shared" si="14"/>
        <v>2845.1466458571881</v>
      </c>
      <c r="Z80" s="1" t="e">
        <f t="shared" si="15"/>
        <v>#DIV/0!</v>
      </c>
    </row>
    <row r="81" spans="1:26" x14ac:dyDescent="0.3">
      <c r="A81" s="12">
        <v>5</v>
      </c>
      <c r="B81" s="12">
        <v>-1.5</v>
      </c>
      <c r="C81" s="33">
        <v>4.897065403</v>
      </c>
      <c r="D81" s="33">
        <v>-0.87868933000000005</v>
      </c>
      <c r="E81" s="4">
        <f t="shared" si="8"/>
        <v>6.397065403</v>
      </c>
      <c r="F81" s="4">
        <f t="shared" si="9"/>
        <v>0.62131066999999995</v>
      </c>
      <c r="G81" s="12">
        <v>100</v>
      </c>
      <c r="H81" s="13">
        <v>100000</v>
      </c>
      <c r="I81" s="13">
        <f t="shared" si="10"/>
        <v>1.0293459699999997E-3</v>
      </c>
      <c r="J81" s="13">
        <f t="shared" si="11"/>
        <v>8.7868933000000012E-6</v>
      </c>
      <c r="K81" s="7">
        <f t="shared" si="12"/>
        <v>117.1456093588845</v>
      </c>
      <c r="L81" s="54"/>
      <c r="M81" s="18">
        <f>L72/I81</f>
        <v>971490.66411558446</v>
      </c>
      <c r="N81" s="13">
        <f t="shared" si="13"/>
        <v>4.1173838799999987E-2</v>
      </c>
      <c r="O81" s="7">
        <f t="shared" si="14"/>
        <v>2845.1466458571881</v>
      </c>
      <c r="Z81" s="1" t="e">
        <f t="shared" si="15"/>
        <v>#DIV/0!</v>
      </c>
    </row>
    <row r="82" spans="1:26" x14ac:dyDescent="0.3">
      <c r="A82" s="8">
        <v>0.5</v>
      </c>
      <c r="B82" s="8">
        <v>-1</v>
      </c>
      <c r="C82" s="30">
        <v>0.46042988600000001</v>
      </c>
      <c r="D82" s="30">
        <v>-0.41670570200000001</v>
      </c>
      <c r="E82" s="2">
        <f t="shared" si="8"/>
        <v>1.460429886</v>
      </c>
      <c r="F82" s="2">
        <f t="shared" si="9"/>
        <v>0.58329429799999999</v>
      </c>
      <c r="G82" s="8">
        <v>100</v>
      </c>
      <c r="H82" s="9">
        <v>100000</v>
      </c>
      <c r="I82" s="9">
        <f t="shared" si="10"/>
        <v>3.9570113999999991E-4</v>
      </c>
      <c r="J82" s="9">
        <f t="shared" si="11"/>
        <v>4.1670570199999998E-6</v>
      </c>
      <c r="K82" s="5">
        <f t="shared" si="12"/>
        <v>94.959377349724846</v>
      </c>
      <c r="L82" s="55">
        <f>Z83</f>
        <v>1000.0000000000001</v>
      </c>
      <c r="M82" s="16">
        <f>L82/I82</f>
        <v>2527159.7650691639</v>
      </c>
      <c r="N82" s="9">
        <f t="shared" si="13"/>
        <v>1.5828045599999997E-2</v>
      </c>
      <c r="O82" s="5">
        <f t="shared" si="14"/>
        <v>5999.4379438561182</v>
      </c>
      <c r="Z82" s="1" t="e">
        <f t="shared" si="15"/>
        <v>#DIV/0!</v>
      </c>
    </row>
    <row r="83" spans="1:26" x14ac:dyDescent="0.3">
      <c r="A83" s="8">
        <v>1</v>
      </c>
      <c r="B83" s="8">
        <v>-1</v>
      </c>
      <c r="C83" s="30">
        <v>0.96040881199999995</v>
      </c>
      <c r="D83" s="30">
        <v>-0.41670570200000001</v>
      </c>
      <c r="E83" s="2">
        <f t="shared" si="8"/>
        <v>1.9604088119999998</v>
      </c>
      <c r="F83" s="2">
        <f t="shared" si="9"/>
        <v>0.58329429799999999</v>
      </c>
      <c r="G83" s="8">
        <v>100</v>
      </c>
      <c r="H83" s="9">
        <v>100000</v>
      </c>
      <c r="I83" s="9">
        <f t="shared" si="10"/>
        <v>3.9591188000000053E-4</v>
      </c>
      <c r="J83" s="9">
        <f t="shared" si="11"/>
        <v>4.1670570199999998E-6</v>
      </c>
      <c r="K83" s="5">
        <f t="shared" si="12"/>
        <v>95.00995021181653</v>
      </c>
      <c r="L83" s="55"/>
      <c r="M83" s="16">
        <f>L82/I83</f>
        <v>2525814.5827803873</v>
      </c>
      <c r="N83" s="9">
        <f t="shared" si="13"/>
        <v>1.5836475200000019E-2</v>
      </c>
      <c r="O83" s="5">
        <f t="shared" si="14"/>
        <v>5999.4379438561182</v>
      </c>
      <c r="X83" s="38">
        <v>3.9999999999999998E-7</v>
      </c>
      <c r="Y83" s="37">
        <v>4.0000000000000002E-4</v>
      </c>
      <c r="Z83" s="37">
        <f t="shared" si="15"/>
        <v>1000.0000000000001</v>
      </c>
    </row>
    <row r="84" spans="1:26" x14ac:dyDescent="0.3">
      <c r="A84" s="8">
        <v>1.5</v>
      </c>
      <c r="B84" s="8">
        <v>-1</v>
      </c>
      <c r="C84" s="30">
        <v>1.4603877380000001</v>
      </c>
      <c r="D84" s="30">
        <v>-0.41670570200000001</v>
      </c>
      <c r="E84" s="2">
        <f t="shared" si="8"/>
        <v>2.4603877380000001</v>
      </c>
      <c r="F84" s="2">
        <f t="shared" si="9"/>
        <v>0.58329429799999999</v>
      </c>
      <c r="G84" s="8">
        <v>100</v>
      </c>
      <c r="H84" s="9">
        <v>100000</v>
      </c>
      <c r="I84" s="9">
        <f t="shared" si="10"/>
        <v>3.9612261999999899E-4</v>
      </c>
      <c r="J84" s="9">
        <f t="shared" si="11"/>
        <v>4.1670570199999998E-6</v>
      </c>
      <c r="K84" s="5">
        <f t="shared" si="12"/>
        <v>95.060523073907689</v>
      </c>
      <c r="L84" s="55"/>
      <c r="M84" s="16">
        <f>L82/I84</f>
        <v>2524470.8317843666</v>
      </c>
      <c r="N84" s="9">
        <f t="shared" si="13"/>
        <v>1.5844904799999959E-2</v>
      </c>
      <c r="O84" s="5">
        <f t="shared" si="14"/>
        <v>5999.4379438561182</v>
      </c>
      <c r="Z84" s="1" t="e">
        <f t="shared" si="15"/>
        <v>#DIV/0!</v>
      </c>
    </row>
    <row r="85" spans="1:26" x14ac:dyDescent="0.3">
      <c r="A85" s="8">
        <v>2</v>
      </c>
      <c r="B85" s="8">
        <v>-1</v>
      </c>
      <c r="C85" s="30">
        <v>1.9603666639999999</v>
      </c>
      <c r="D85" s="30">
        <v>-0.41670570099999998</v>
      </c>
      <c r="E85" s="2">
        <f t="shared" si="8"/>
        <v>2.9603666639999999</v>
      </c>
      <c r="F85" s="2">
        <f t="shared" si="9"/>
        <v>0.58329429900000007</v>
      </c>
      <c r="G85" s="8">
        <v>100</v>
      </c>
      <c r="H85" s="9">
        <v>100000</v>
      </c>
      <c r="I85" s="9">
        <f t="shared" si="10"/>
        <v>3.9633336000000075E-4</v>
      </c>
      <c r="J85" s="9">
        <f t="shared" si="11"/>
        <v>4.16705701E-6</v>
      </c>
      <c r="K85" s="5">
        <f t="shared" si="12"/>
        <v>95.111096164244884</v>
      </c>
      <c r="L85" s="55"/>
      <c r="M85" s="16">
        <f>L82/I85</f>
        <v>2523128.5097979093</v>
      </c>
      <c r="N85" s="9">
        <f t="shared" si="13"/>
        <v>1.585333440000003E-2</v>
      </c>
      <c r="O85" s="5">
        <f t="shared" si="14"/>
        <v>5999.4379582534202</v>
      </c>
      <c r="Z85" s="1" t="e">
        <f t="shared" si="15"/>
        <v>#DIV/0!</v>
      </c>
    </row>
    <row r="86" spans="1:26" x14ac:dyDescent="0.3">
      <c r="A86" s="8">
        <v>2.5</v>
      </c>
      <c r="B86" s="8">
        <v>-1</v>
      </c>
      <c r="C86" s="30">
        <v>2.4603455900000002</v>
      </c>
      <c r="D86" s="30">
        <v>-0.41670570099999998</v>
      </c>
      <c r="E86" s="2">
        <f t="shared" si="8"/>
        <v>3.4603455900000002</v>
      </c>
      <c r="F86" s="2">
        <f t="shared" si="9"/>
        <v>0.58329429900000007</v>
      </c>
      <c r="G86" s="8">
        <v>100</v>
      </c>
      <c r="H86" s="9">
        <v>100000</v>
      </c>
      <c r="I86" s="9">
        <f t="shared" si="10"/>
        <v>3.9654409999999806E-4</v>
      </c>
      <c r="J86" s="9">
        <f t="shared" si="11"/>
        <v>4.16705701E-6</v>
      </c>
      <c r="K86" s="5">
        <f t="shared" si="12"/>
        <v>95.161669026457133</v>
      </c>
      <c r="L86" s="55"/>
      <c r="M86" s="16">
        <f>L82/I86</f>
        <v>2521787.6145427581</v>
      </c>
      <c r="N86" s="9">
        <f t="shared" si="13"/>
        <v>1.5861763999999921E-2</v>
      </c>
      <c r="O86" s="5">
        <f t="shared" si="14"/>
        <v>5999.4379582534202</v>
      </c>
      <c r="Z86" s="1" t="e">
        <f t="shared" si="15"/>
        <v>#DIV/0!</v>
      </c>
    </row>
    <row r="87" spans="1:26" x14ac:dyDescent="0.3">
      <c r="A87" s="8">
        <v>3</v>
      </c>
      <c r="B87" s="8">
        <v>-1</v>
      </c>
      <c r="C87" s="30">
        <v>2.9603245170000001</v>
      </c>
      <c r="D87" s="30">
        <v>-0.41670570099999998</v>
      </c>
      <c r="E87" s="2">
        <f t="shared" si="8"/>
        <v>3.9603245170000001</v>
      </c>
      <c r="F87" s="2">
        <f t="shared" si="9"/>
        <v>0.58329429900000007</v>
      </c>
      <c r="G87" s="8">
        <v>100</v>
      </c>
      <c r="H87" s="9">
        <v>100000</v>
      </c>
      <c r="I87" s="9">
        <f t="shared" si="10"/>
        <v>3.9675482999999899E-4</v>
      </c>
      <c r="J87" s="9">
        <f t="shared" si="11"/>
        <v>4.16705701E-6</v>
      </c>
      <c r="K87" s="5">
        <f t="shared" si="12"/>
        <v>95.212239488895065</v>
      </c>
      <c r="L87" s="55"/>
      <c r="M87" s="16">
        <f>L82/I87</f>
        <v>2520448.207271989</v>
      </c>
      <c r="N87" s="9">
        <f t="shared" si="13"/>
        <v>1.5870193199999959E-2</v>
      </c>
      <c r="O87" s="5">
        <f t="shared" si="14"/>
        <v>5999.4379582534202</v>
      </c>
      <c r="Z87" s="1" t="e">
        <f t="shared" si="15"/>
        <v>#DIV/0!</v>
      </c>
    </row>
    <row r="88" spans="1:26" x14ac:dyDescent="0.3">
      <c r="A88" s="8">
        <v>3.5</v>
      </c>
      <c r="B88" s="8">
        <v>-1</v>
      </c>
      <c r="C88" s="30">
        <v>3.4603034429999999</v>
      </c>
      <c r="D88" s="30">
        <v>-0.41670570099999998</v>
      </c>
      <c r="E88" s="2">
        <f t="shared" si="8"/>
        <v>4.4603034429999999</v>
      </c>
      <c r="F88" s="2">
        <f t="shared" si="9"/>
        <v>0.58329429900000007</v>
      </c>
      <c r="G88" s="8">
        <v>100</v>
      </c>
      <c r="H88" s="9">
        <v>100000</v>
      </c>
      <c r="I88" s="9">
        <f t="shared" si="10"/>
        <v>3.9696557000000075E-4</v>
      </c>
      <c r="J88" s="9">
        <f t="shared" si="11"/>
        <v>4.16705701E-6</v>
      </c>
      <c r="K88" s="5">
        <f t="shared" si="12"/>
        <v>95.26281235110838</v>
      </c>
      <c r="L88" s="55"/>
      <c r="M88" s="16">
        <f>L82/I88</f>
        <v>2519110.1585963694</v>
      </c>
      <c r="N88" s="9">
        <f t="shared" si="13"/>
        <v>1.587862280000003E-2</v>
      </c>
      <c r="O88" s="5">
        <f t="shared" si="14"/>
        <v>5999.4379582534202</v>
      </c>
      <c r="Z88" s="1" t="e">
        <f t="shared" si="15"/>
        <v>#DIV/0!</v>
      </c>
    </row>
    <row r="89" spans="1:26" x14ac:dyDescent="0.3">
      <c r="A89" s="8">
        <v>4</v>
      </c>
      <c r="B89" s="8">
        <v>-1</v>
      </c>
      <c r="C89" s="30">
        <v>3.9602823690000002</v>
      </c>
      <c r="D89" s="30">
        <v>-0.41670570000000001</v>
      </c>
      <c r="E89" s="2">
        <f t="shared" si="8"/>
        <v>4.9602823689999997</v>
      </c>
      <c r="F89" s="2">
        <f t="shared" si="9"/>
        <v>0.58329429999999993</v>
      </c>
      <c r="G89" s="8">
        <v>100</v>
      </c>
      <c r="H89" s="9">
        <v>100000</v>
      </c>
      <c r="I89" s="9">
        <f t="shared" si="10"/>
        <v>3.9717630999999806E-4</v>
      </c>
      <c r="J89" s="9">
        <f t="shared" si="11"/>
        <v>4.1670570000000002E-6</v>
      </c>
      <c r="K89" s="5">
        <f t="shared" si="12"/>
        <v>95.313385442051313</v>
      </c>
      <c r="L89" s="55"/>
      <c r="M89" s="16">
        <f>L82/I89</f>
        <v>2517773.5298462412</v>
      </c>
      <c r="N89" s="9">
        <f t="shared" si="13"/>
        <v>1.5887052399999921E-2</v>
      </c>
      <c r="O89" s="5">
        <f t="shared" si="14"/>
        <v>5999.4379726507223</v>
      </c>
      <c r="Z89" s="1" t="e">
        <f t="shared" si="15"/>
        <v>#DIV/0!</v>
      </c>
    </row>
    <row r="90" spans="1:26" x14ac:dyDescent="0.3">
      <c r="A90" s="8">
        <v>4.5</v>
      </c>
      <c r="B90" s="8">
        <v>-1</v>
      </c>
      <c r="C90" s="30">
        <v>4.4602612949999996</v>
      </c>
      <c r="D90" s="30">
        <v>-0.41670570000000001</v>
      </c>
      <c r="E90" s="2">
        <f t="shared" si="8"/>
        <v>5.4602612949999996</v>
      </c>
      <c r="F90" s="2">
        <f t="shared" si="9"/>
        <v>0.58329429999999993</v>
      </c>
      <c r="G90" s="8">
        <v>100</v>
      </c>
      <c r="H90" s="9">
        <v>100000</v>
      </c>
      <c r="I90" s="9">
        <f t="shared" si="10"/>
        <v>3.9738705000000427E-4</v>
      </c>
      <c r="J90" s="9">
        <f t="shared" si="11"/>
        <v>4.1670570000000002E-6</v>
      </c>
      <c r="K90" s="5">
        <f t="shared" si="12"/>
        <v>95.363958304387069</v>
      </c>
      <c r="L90" s="55"/>
      <c r="M90" s="16">
        <f>L82/I90</f>
        <v>2516438.3187624998</v>
      </c>
      <c r="N90" s="9">
        <f t="shared" si="13"/>
        <v>1.5895482000000169E-2</v>
      </c>
      <c r="O90" s="5">
        <f t="shared" si="14"/>
        <v>5999.4379726507223</v>
      </c>
      <c r="Z90" s="1" t="e">
        <f t="shared" si="15"/>
        <v>#DIV/0!</v>
      </c>
    </row>
    <row r="91" spans="1:26" x14ac:dyDescent="0.3">
      <c r="A91" s="8">
        <v>5</v>
      </c>
      <c r="B91" s="8">
        <v>-1</v>
      </c>
      <c r="C91" s="30">
        <v>4.9602402210000003</v>
      </c>
      <c r="D91" s="30">
        <v>-0.41670570000000001</v>
      </c>
      <c r="E91" s="2">
        <f t="shared" si="8"/>
        <v>5.9602402210000003</v>
      </c>
      <c r="F91" s="2">
        <f t="shared" si="9"/>
        <v>0.58329429999999993</v>
      </c>
      <c r="G91" s="8">
        <v>100</v>
      </c>
      <c r="H91" s="9">
        <v>100000</v>
      </c>
      <c r="I91" s="9">
        <f t="shared" si="10"/>
        <v>3.9759778999999719E-4</v>
      </c>
      <c r="J91" s="9">
        <f t="shared" si="11"/>
        <v>4.1670570000000002E-6</v>
      </c>
      <c r="K91" s="5">
        <f t="shared" si="12"/>
        <v>95.414531166719627</v>
      </c>
      <c r="L91" s="55"/>
      <c r="M91" s="16">
        <f>L82/I91</f>
        <v>2515104.5230910545</v>
      </c>
      <c r="N91" s="9">
        <f t="shared" si="13"/>
        <v>1.5903911599999886E-2</v>
      </c>
      <c r="O91" s="5">
        <f t="shared" si="14"/>
        <v>5999.4379726507223</v>
      </c>
      <c r="Z91" s="1" t="e">
        <f t="shared" si="15"/>
        <v>#DIV/0!</v>
      </c>
    </row>
  </sheetData>
  <mergeCells count="9">
    <mergeCell ref="L62:L71"/>
    <mergeCell ref="L72:L81"/>
    <mergeCell ref="L82:L91"/>
    <mergeCell ref="L22:L31"/>
    <mergeCell ref="L2:L11"/>
    <mergeCell ref="L12:L21"/>
    <mergeCell ref="L32:L41"/>
    <mergeCell ref="L42:L51"/>
    <mergeCell ref="L52:L6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1"/>
  <sheetViews>
    <sheetView topLeftCell="A34" zoomScaleNormal="100" workbookViewId="0">
      <selection activeCell="J77" sqref="J77"/>
    </sheetView>
  </sheetViews>
  <sheetFormatPr defaultColWidth="9" defaultRowHeight="14.4" x14ac:dyDescent="0.3"/>
  <cols>
    <col min="1" max="1" width="8.88671875" style="1" bestFit="1" customWidth="1"/>
    <col min="2" max="2" width="8.5546875" style="1" bestFit="1" customWidth="1"/>
    <col min="3" max="4" width="14.109375" style="1" bestFit="1" customWidth="1"/>
    <col min="5" max="5" width="10" style="1" bestFit="1" customWidth="1"/>
    <col min="6" max="6" width="12.33203125" style="1" bestFit="1" customWidth="1"/>
    <col min="7" max="8" width="9.109375" style="1" bestFit="1" customWidth="1"/>
    <col min="9" max="9" width="10.21875" style="14" customWidth="1"/>
    <col min="10" max="10" width="9" style="1" bestFit="1" customWidth="1"/>
    <col min="11" max="11" width="8.33203125" style="15" bestFit="1" customWidth="1"/>
    <col min="12" max="12" width="10.44140625" style="15" bestFit="1" customWidth="1"/>
    <col min="13" max="13" width="10.77734375" style="15" customWidth="1"/>
    <col min="14" max="14" width="13.33203125" style="14" bestFit="1" customWidth="1"/>
    <col min="15" max="15" width="12.33203125" style="15" bestFit="1" customWidth="1"/>
    <col min="16" max="23" width="9" style="1"/>
    <col min="24" max="24" width="8.33203125" style="1" customWidth="1"/>
    <col min="25" max="25" width="9" style="1"/>
    <col min="26" max="26" width="11.44140625" style="1" customWidth="1"/>
    <col min="27" max="16384" width="9" style="1"/>
  </cols>
  <sheetData>
    <row r="1" spans="1:26" x14ac:dyDescent="0.3">
      <c r="A1" s="1" t="s">
        <v>0</v>
      </c>
      <c r="B1" s="1" t="s">
        <v>1</v>
      </c>
      <c r="C1" s="1" t="s">
        <v>24</v>
      </c>
      <c r="D1" s="1" t="s">
        <v>25</v>
      </c>
      <c r="E1" s="1" t="s">
        <v>4</v>
      </c>
      <c r="F1" s="1" t="s">
        <v>5</v>
      </c>
      <c r="G1" s="1" t="s">
        <v>6</v>
      </c>
      <c r="H1" s="1" t="s">
        <v>7</v>
      </c>
      <c r="I1" s="14" t="s">
        <v>8</v>
      </c>
      <c r="J1" s="1" t="s">
        <v>9</v>
      </c>
      <c r="K1" s="15" t="s">
        <v>10</v>
      </c>
      <c r="L1" s="15" t="s">
        <v>11</v>
      </c>
      <c r="M1" s="15" t="s">
        <v>12</v>
      </c>
      <c r="N1" s="14" t="s">
        <v>13</v>
      </c>
      <c r="O1" s="15" t="s">
        <v>14</v>
      </c>
    </row>
    <row r="2" spans="1:26" x14ac:dyDescent="0.3">
      <c r="A2" s="8">
        <v>0.5</v>
      </c>
      <c r="B2" s="8">
        <v>-5</v>
      </c>
      <c r="C2" s="30">
        <v>-0.88873999999999997</v>
      </c>
      <c r="D2" s="30">
        <v>-4.2523399999999896</v>
      </c>
      <c r="E2" s="8">
        <f>C2-B2</f>
        <v>4.1112599999999997</v>
      </c>
      <c r="F2" s="8">
        <f t="shared" ref="F2:F65" si="0">D2-B2</f>
        <v>0.74766000000001043</v>
      </c>
      <c r="G2" s="8">
        <v>100</v>
      </c>
      <c r="H2" s="9">
        <v>100000</v>
      </c>
      <c r="I2" s="9">
        <f t="shared" ref="I2:I65" si="1">(A2-C2)/G2</f>
        <v>1.3887399999999999E-2</v>
      </c>
      <c r="J2" s="9">
        <f t="shared" ref="J2:J65" si="2">(0-D2)/H2</f>
        <v>4.2523399999999899E-5</v>
      </c>
      <c r="K2" s="5">
        <f t="shared" ref="K2:K65" si="3">I2/J2</f>
        <v>326.58254043656041</v>
      </c>
      <c r="L2" s="55">
        <f>Z6</f>
        <v>134</v>
      </c>
      <c r="M2" s="16">
        <f>L2/I2</f>
        <v>9649.0343764851605</v>
      </c>
      <c r="N2" s="9">
        <f>I2/0.025</f>
        <v>0.55549599999999999</v>
      </c>
      <c r="O2" s="5">
        <f>0.025/J2</f>
        <v>587.91159690899747</v>
      </c>
      <c r="X2" s="36" t="s">
        <v>15</v>
      </c>
      <c r="Y2" s="36" t="s">
        <v>16</v>
      </c>
      <c r="Z2" s="36" t="s">
        <v>17</v>
      </c>
    </row>
    <row r="3" spans="1:26" x14ac:dyDescent="0.3">
      <c r="A3" s="8">
        <v>1</v>
      </c>
      <c r="B3" s="8">
        <v>-5</v>
      </c>
      <c r="C3" s="30">
        <v>-0.40465999999999902</v>
      </c>
      <c r="D3" s="30">
        <v>-4.28714</v>
      </c>
      <c r="E3" s="8">
        <f t="shared" ref="E3:E66" si="4">C3-B3</f>
        <v>4.5953400000000011</v>
      </c>
      <c r="F3" s="8">
        <f t="shared" si="0"/>
        <v>0.71286000000000005</v>
      </c>
      <c r="G3" s="8">
        <v>100</v>
      </c>
      <c r="H3" s="9">
        <v>100000</v>
      </c>
      <c r="I3" s="9">
        <f t="shared" si="1"/>
        <v>1.4046599999999989E-2</v>
      </c>
      <c r="J3" s="9">
        <f t="shared" si="2"/>
        <v>4.2871399999999997E-5</v>
      </c>
      <c r="K3" s="5">
        <f t="shared" si="3"/>
        <v>327.64500342885907</v>
      </c>
      <c r="L3" s="58"/>
      <c r="M3" s="16">
        <f>L2/I3</f>
        <v>9539.6750815143951</v>
      </c>
      <c r="N3" s="9">
        <f t="shared" ref="N3:N66" si="5">I3/0.025</f>
        <v>0.56186399999999947</v>
      </c>
      <c r="O3" s="5">
        <f t="shared" ref="O3:O66" si="6">0.025/J3</f>
        <v>583.1393423121242</v>
      </c>
      <c r="X3" s="36" t="s">
        <v>18</v>
      </c>
      <c r="Y3" s="36" t="s">
        <v>19</v>
      </c>
      <c r="Z3" s="36" t="s">
        <v>20</v>
      </c>
    </row>
    <row r="4" spans="1:26" x14ac:dyDescent="0.3">
      <c r="A4" s="8">
        <v>1.5</v>
      </c>
      <c r="B4" s="8">
        <v>-5</v>
      </c>
      <c r="C4" s="30">
        <v>7.8460000000000002E-2</v>
      </c>
      <c r="D4" s="30">
        <v>-4.2714400000000001</v>
      </c>
      <c r="E4" s="8">
        <f t="shared" si="4"/>
        <v>5.0784599999999998</v>
      </c>
      <c r="F4" s="8">
        <f t="shared" si="0"/>
        <v>0.72855999999999987</v>
      </c>
      <c r="G4" s="8">
        <v>100</v>
      </c>
      <c r="H4" s="9">
        <v>100000</v>
      </c>
      <c r="I4" s="9">
        <f t="shared" si="1"/>
        <v>1.42154E-2</v>
      </c>
      <c r="J4" s="9">
        <f t="shared" si="2"/>
        <v>4.2714399999999999E-5</v>
      </c>
      <c r="K4" s="5">
        <f t="shared" si="3"/>
        <v>332.801116251194</v>
      </c>
      <c r="L4" s="58"/>
      <c r="M4" s="16">
        <f>L2/I4</f>
        <v>9426.3967246788688</v>
      </c>
      <c r="N4" s="9">
        <f t="shared" si="5"/>
        <v>0.5686159999999999</v>
      </c>
      <c r="O4" s="5">
        <f t="shared" si="6"/>
        <v>585.28271496263562</v>
      </c>
    </row>
    <row r="5" spans="1:26" x14ac:dyDescent="0.3">
      <c r="A5" s="8">
        <v>2</v>
      </c>
      <c r="B5" s="8">
        <v>-5</v>
      </c>
      <c r="C5" s="30">
        <v>0.57354000000000005</v>
      </c>
      <c r="D5" s="30">
        <v>-4.2743000000000002</v>
      </c>
      <c r="E5" s="8">
        <f t="shared" si="4"/>
        <v>5.5735400000000004</v>
      </c>
      <c r="F5" s="8">
        <f t="shared" si="0"/>
        <v>0.72569999999999979</v>
      </c>
      <c r="G5" s="8">
        <v>100</v>
      </c>
      <c r="H5" s="9">
        <v>100000</v>
      </c>
      <c r="I5" s="9">
        <f t="shared" si="1"/>
        <v>1.4264600000000001E-2</v>
      </c>
      <c r="J5" s="9">
        <f t="shared" si="2"/>
        <v>4.2743000000000001E-5</v>
      </c>
      <c r="K5" s="5">
        <f t="shared" si="3"/>
        <v>333.7294995671806</v>
      </c>
      <c r="L5" s="58"/>
      <c r="M5" s="16">
        <f>L2/I5</f>
        <v>9393.8841607896466</v>
      </c>
      <c r="N5" s="9">
        <f t="shared" si="5"/>
        <v>0.57058399999999998</v>
      </c>
      <c r="O5" s="5">
        <f t="shared" si="6"/>
        <v>584.89109327843153</v>
      </c>
      <c r="X5" s="34" t="s">
        <v>21</v>
      </c>
      <c r="Y5" s="34" t="s">
        <v>22</v>
      </c>
      <c r="Z5" s="34" t="s">
        <v>23</v>
      </c>
    </row>
    <row r="6" spans="1:26" x14ac:dyDescent="0.3">
      <c r="A6" s="8">
        <v>2.5</v>
      </c>
      <c r="B6" s="8">
        <v>-5</v>
      </c>
      <c r="C6" s="30">
        <v>1.06742</v>
      </c>
      <c r="D6" s="30">
        <v>-4.2744799999999996</v>
      </c>
      <c r="E6" s="8">
        <f t="shared" si="4"/>
        <v>6.0674200000000003</v>
      </c>
      <c r="F6" s="8">
        <f t="shared" si="0"/>
        <v>0.72552000000000039</v>
      </c>
      <c r="G6" s="8">
        <v>100</v>
      </c>
      <c r="H6" s="9">
        <v>100000</v>
      </c>
      <c r="I6" s="9">
        <f t="shared" si="1"/>
        <v>1.43258E-2</v>
      </c>
      <c r="J6" s="9">
        <f t="shared" si="2"/>
        <v>4.2744799999999998E-5</v>
      </c>
      <c r="K6" s="5">
        <f t="shared" si="3"/>
        <v>335.14719919148064</v>
      </c>
      <c r="L6" s="58"/>
      <c r="M6" s="16">
        <f>L2/I6</f>
        <v>9353.7533680492543</v>
      </c>
      <c r="N6" s="9">
        <f t="shared" si="5"/>
        <v>0.57303199999999999</v>
      </c>
      <c r="O6" s="5">
        <f t="shared" si="6"/>
        <v>584.86646328910194</v>
      </c>
      <c r="X6" s="37">
        <v>1E-4</v>
      </c>
      <c r="Y6" s="37">
        <v>1.34E-2</v>
      </c>
      <c r="Z6" s="37">
        <f>ABS(-Y6/X6)</f>
        <v>134</v>
      </c>
    </row>
    <row r="7" spans="1:26" x14ac:dyDescent="0.3">
      <c r="A7" s="8">
        <v>3</v>
      </c>
      <c r="B7" s="8">
        <v>-5</v>
      </c>
      <c r="C7" s="30">
        <v>1.5628</v>
      </c>
      <c r="D7" s="30">
        <v>-4.2769599999999999</v>
      </c>
      <c r="E7" s="8">
        <f t="shared" si="4"/>
        <v>6.5628000000000002</v>
      </c>
      <c r="F7" s="8">
        <f t="shared" si="0"/>
        <v>0.72304000000000013</v>
      </c>
      <c r="G7" s="8">
        <v>100</v>
      </c>
      <c r="H7" s="9">
        <v>100000</v>
      </c>
      <c r="I7" s="9">
        <f t="shared" si="1"/>
        <v>1.4372000000000001E-2</v>
      </c>
      <c r="J7" s="9">
        <f t="shared" si="2"/>
        <v>4.2769599999999998E-5</v>
      </c>
      <c r="K7" s="5">
        <f t="shared" si="3"/>
        <v>336.03307021809889</v>
      </c>
      <c r="L7" s="58"/>
      <c r="M7" s="16">
        <f>L2/I7</f>
        <v>9323.6849429446138</v>
      </c>
      <c r="N7" s="9">
        <f t="shared" si="5"/>
        <v>0.57488000000000006</v>
      </c>
      <c r="O7" s="5">
        <f t="shared" si="6"/>
        <v>584.52732782163037</v>
      </c>
      <c r="Z7" s="1" t="e">
        <f t="shared" ref="Z7:Z70" si="7">ABS(-Y7/X7)</f>
        <v>#DIV/0!</v>
      </c>
    </row>
    <row r="8" spans="1:26" x14ac:dyDescent="0.3">
      <c r="A8" s="8">
        <v>3.5</v>
      </c>
      <c r="B8" s="8">
        <v>-5</v>
      </c>
      <c r="C8" s="30">
        <v>2.0556999999999999</v>
      </c>
      <c r="D8" s="30">
        <v>-4.2751799999999998</v>
      </c>
      <c r="E8" s="8">
        <f t="shared" si="4"/>
        <v>7.0556999999999999</v>
      </c>
      <c r="F8" s="8">
        <f t="shared" si="0"/>
        <v>0.72482000000000024</v>
      </c>
      <c r="G8" s="8">
        <v>100</v>
      </c>
      <c r="H8" s="9">
        <v>100000</v>
      </c>
      <c r="I8" s="9">
        <f t="shared" si="1"/>
        <v>1.4443000000000001E-2</v>
      </c>
      <c r="J8" s="9">
        <f t="shared" si="2"/>
        <v>4.27518E-5</v>
      </c>
      <c r="K8" s="5">
        <f t="shared" si="3"/>
        <v>337.83372863832636</v>
      </c>
      <c r="L8" s="58"/>
      <c r="M8" s="16">
        <f>L2/I8</f>
        <v>9277.850862009278</v>
      </c>
      <c r="N8" s="9">
        <f t="shared" si="5"/>
        <v>0.57772000000000001</v>
      </c>
      <c r="O8" s="5">
        <f t="shared" si="6"/>
        <v>584.77069971322851</v>
      </c>
      <c r="Z8" s="1" t="e">
        <f t="shared" si="7"/>
        <v>#DIV/0!</v>
      </c>
    </row>
    <row r="9" spans="1:26" x14ac:dyDescent="0.3">
      <c r="A9" s="8">
        <v>4</v>
      </c>
      <c r="B9" s="8">
        <v>-5</v>
      </c>
      <c r="C9" s="30">
        <v>2.54956</v>
      </c>
      <c r="D9" s="30">
        <v>-4.2771199999999903</v>
      </c>
      <c r="E9" s="8">
        <f t="shared" si="4"/>
        <v>7.5495599999999996</v>
      </c>
      <c r="F9" s="8">
        <f t="shared" si="0"/>
        <v>0.72288000000000974</v>
      </c>
      <c r="G9" s="8">
        <v>100</v>
      </c>
      <c r="H9" s="9">
        <v>100000</v>
      </c>
      <c r="I9" s="9">
        <f t="shared" si="1"/>
        <v>1.4504399999999999E-2</v>
      </c>
      <c r="J9" s="9">
        <f t="shared" si="2"/>
        <v>4.27711999999999E-5</v>
      </c>
      <c r="K9" s="5">
        <f t="shared" si="3"/>
        <v>339.11604070028505</v>
      </c>
      <c r="L9" s="58"/>
      <c r="M9" s="16">
        <f>L2/I9</f>
        <v>9238.5758804224934</v>
      </c>
      <c r="N9" s="9">
        <f t="shared" si="5"/>
        <v>0.58017599999999991</v>
      </c>
      <c r="O9" s="5">
        <f t="shared" si="6"/>
        <v>584.5054616190348</v>
      </c>
      <c r="Z9" s="1" t="e">
        <f t="shared" si="7"/>
        <v>#DIV/0!</v>
      </c>
    </row>
    <row r="10" spans="1:26" x14ac:dyDescent="0.3">
      <c r="A10" s="8">
        <v>4.5</v>
      </c>
      <c r="B10" s="8">
        <v>-5</v>
      </c>
      <c r="C10" s="30">
        <v>3.0450400000000002</v>
      </c>
      <c r="D10" s="30">
        <v>-4.2799399999999999</v>
      </c>
      <c r="E10" s="8">
        <f t="shared" si="4"/>
        <v>8.0450400000000002</v>
      </c>
      <c r="F10" s="8">
        <f t="shared" si="0"/>
        <v>0.72006000000000014</v>
      </c>
      <c r="G10" s="8">
        <v>100</v>
      </c>
      <c r="H10" s="9">
        <v>100000</v>
      </c>
      <c r="I10" s="9">
        <f t="shared" si="1"/>
        <v>1.4549599999999998E-2</v>
      </c>
      <c r="J10" s="9">
        <f t="shared" si="2"/>
        <v>4.2799399999999995E-5</v>
      </c>
      <c r="K10" s="5">
        <f t="shared" si="3"/>
        <v>339.94869086949814</v>
      </c>
      <c r="L10" s="58"/>
      <c r="M10" s="16">
        <f>L2/I10</f>
        <v>9209.875185572113</v>
      </c>
      <c r="N10" s="9">
        <f t="shared" si="5"/>
        <v>0.58198399999999983</v>
      </c>
      <c r="O10" s="5">
        <f t="shared" si="6"/>
        <v>584.12033813558139</v>
      </c>
      <c r="Z10" s="1" t="e">
        <f t="shared" si="7"/>
        <v>#DIV/0!</v>
      </c>
    </row>
    <row r="11" spans="1:26" x14ac:dyDescent="0.3">
      <c r="A11" s="8">
        <v>5</v>
      </c>
      <c r="B11" s="8">
        <v>-5</v>
      </c>
      <c r="C11" s="30">
        <v>3.53898</v>
      </c>
      <c r="D11" s="30">
        <v>-4.28172</v>
      </c>
      <c r="E11" s="8">
        <f t="shared" si="4"/>
        <v>8.5389800000000005</v>
      </c>
      <c r="F11" s="8">
        <f t="shared" si="0"/>
        <v>0.71828000000000003</v>
      </c>
      <c r="G11" s="8">
        <v>100</v>
      </c>
      <c r="H11" s="9">
        <v>100000</v>
      </c>
      <c r="I11" s="9">
        <f t="shared" si="1"/>
        <v>1.46102E-2</v>
      </c>
      <c r="J11" s="9">
        <f t="shared" si="2"/>
        <v>4.2817200000000001E-5</v>
      </c>
      <c r="K11" s="5">
        <f t="shared" si="3"/>
        <v>341.22268621021459</v>
      </c>
      <c r="L11" s="58"/>
      <c r="M11" s="16">
        <f>L2/I11</f>
        <v>9171.6745835101501</v>
      </c>
      <c r="N11" s="9">
        <f t="shared" si="5"/>
        <v>0.58440799999999993</v>
      </c>
      <c r="O11" s="5">
        <f t="shared" si="6"/>
        <v>583.87750717001586</v>
      </c>
      <c r="Z11" s="1" t="e">
        <f t="shared" si="7"/>
        <v>#DIV/0!</v>
      </c>
    </row>
    <row r="12" spans="1:26" x14ac:dyDescent="0.3">
      <c r="A12" s="21">
        <v>0.5</v>
      </c>
      <c r="B12" s="21">
        <v>-4.5</v>
      </c>
      <c r="C12" s="31">
        <v>-0.73773999999999995</v>
      </c>
      <c r="D12" s="31">
        <v>-3.78912</v>
      </c>
      <c r="E12" s="21">
        <f t="shared" si="4"/>
        <v>3.7622599999999999</v>
      </c>
      <c r="F12" s="21">
        <f t="shared" si="0"/>
        <v>0.71087999999999996</v>
      </c>
      <c r="G12" s="21">
        <v>100</v>
      </c>
      <c r="H12" s="22">
        <v>100000</v>
      </c>
      <c r="I12" s="22">
        <f t="shared" si="1"/>
        <v>1.23774E-2</v>
      </c>
      <c r="J12" s="22">
        <f t="shared" si="2"/>
        <v>3.7891200000000001E-5</v>
      </c>
      <c r="K12" s="23">
        <f t="shared" si="3"/>
        <v>326.65632125665064</v>
      </c>
      <c r="L12" s="56">
        <f>Z13</f>
        <v>120</v>
      </c>
      <c r="M12" s="24">
        <f>L12/I12</f>
        <v>9695.0894372000585</v>
      </c>
      <c r="N12" s="22">
        <f t="shared" si="5"/>
        <v>0.49509599999999998</v>
      </c>
      <c r="O12" s="23">
        <f t="shared" si="6"/>
        <v>659.78380204374628</v>
      </c>
      <c r="Z12" s="1" t="e">
        <f t="shared" si="7"/>
        <v>#DIV/0!</v>
      </c>
    </row>
    <row r="13" spans="1:26" x14ac:dyDescent="0.3">
      <c r="A13" s="21">
        <v>1</v>
      </c>
      <c r="B13" s="21">
        <v>-4.5</v>
      </c>
      <c r="C13" s="31">
        <v>-0.24013999999999999</v>
      </c>
      <c r="D13" s="31">
        <v>-3.7925399999999998</v>
      </c>
      <c r="E13" s="21">
        <f t="shared" si="4"/>
        <v>4.2598599999999998</v>
      </c>
      <c r="F13" s="21">
        <f t="shared" si="0"/>
        <v>0.7074600000000002</v>
      </c>
      <c r="G13" s="21">
        <v>100</v>
      </c>
      <c r="H13" s="22">
        <v>100000</v>
      </c>
      <c r="I13" s="22">
        <f t="shared" si="1"/>
        <v>1.24014E-2</v>
      </c>
      <c r="J13" s="22">
        <f t="shared" si="2"/>
        <v>3.7925400000000001E-5</v>
      </c>
      <c r="K13" s="23">
        <f t="shared" si="3"/>
        <v>326.994573557563</v>
      </c>
      <c r="L13" s="59"/>
      <c r="M13" s="24">
        <f>L12/I13</f>
        <v>9676.326866321544</v>
      </c>
      <c r="N13" s="22">
        <f t="shared" si="5"/>
        <v>0.496056</v>
      </c>
      <c r="O13" s="23">
        <f t="shared" si="6"/>
        <v>659.18882859508403</v>
      </c>
      <c r="X13" s="38">
        <v>1E-4</v>
      </c>
      <c r="Y13" s="37">
        <v>1.2E-2</v>
      </c>
      <c r="Z13" s="37">
        <f t="shared" si="7"/>
        <v>120</v>
      </c>
    </row>
    <row r="14" spans="1:26" x14ac:dyDescent="0.3">
      <c r="A14" s="21">
        <v>1.5</v>
      </c>
      <c r="B14" s="21">
        <v>-4.5</v>
      </c>
      <c r="C14" s="31">
        <v>0.24893999999999999</v>
      </c>
      <c r="D14" s="31">
        <v>-3.7779400000000001</v>
      </c>
      <c r="E14" s="21">
        <f t="shared" si="4"/>
        <v>4.7489400000000002</v>
      </c>
      <c r="F14" s="21">
        <f t="shared" si="0"/>
        <v>0.72205999999999992</v>
      </c>
      <c r="G14" s="21">
        <v>100</v>
      </c>
      <c r="H14" s="22">
        <v>100000</v>
      </c>
      <c r="I14" s="22">
        <f t="shared" si="1"/>
        <v>1.25106E-2</v>
      </c>
      <c r="J14" s="22">
        <f t="shared" si="2"/>
        <v>3.7779399999999999E-5</v>
      </c>
      <c r="K14" s="23">
        <f t="shared" si="3"/>
        <v>331.14872126079291</v>
      </c>
      <c r="L14" s="59"/>
      <c r="M14" s="24">
        <f>L12/I14</f>
        <v>9591.8660975492785</v>
      </c>
      <c r="N14" s="22">
        <f t="shared" si="5"/>
        <v>0.50042399999999998</v>
      </c>
      <c r="O14" s="23">
        <f t="shared" si="6"/>
        <v>661.73629014754079</v>
      </c>
      <c r="Z14" s="1" t="e">
        <f t="shared" si="7"/>
        <v>#DIV/0!</v>
      </c>
    </row>
    <row r="15" spans="1:26" x14ac:dyDescent="0.3">
      <c r="A15" s="21">
        <v>2</v>
      </c>
      <c r="B15" s="21">
        <v>-4.5</v>
      </c>
      <c r="C15" s="31">
        <v>0.74475999999999998</v>
      </c>
      <c r="D15" s="31">
        <v>-3.7797399999999999</v>
      </c>
      <c r="E15" s="21">
        <f t="shared" si="4"/>
        <v>5.2447600000000003</v>
      </c>
      <c r="F15" s="21">
        <f t="shared" si="0"/>
        <v>0.72026000000000012</v>
      </c>
      <c r="G15" s="21">
        <v>100</v>
      </c>
      <c r="H15" s="22">
        <v>100000</v>
      </c>
      <c r="I15" s="22">
        <f t="shared" si="1"/>
        <v>1.2552400000000002E-2</v>
      </c>
      <c r="J15" s="22">
        <f t="shared" si="2"/>
        <v>3.7797399999999998E-5</v>
      </c>
      <c r="K15" s="23">
        <f t="shared" si="3"/>
        <v>332.09691671913947</v>
      </c>
      <c r="L15" s="59"/>
      <c r="M15" s="24">
        <f>L12/I15</f>
        <v>9559.9247952582755</v>
      </c>
      <c r="N15" s="22">
        <f t="shared" si="5"/>
        <v>0.50209599999999999</v>
      </c>
      <c r="O15" s="23">
        <f t="shared" si="6"/>
        <v>661.42115595252585</v>
      </c>
      <c r="Z15" s="1" t="e">
        <f t="shared" si="7"/>
        <v>#DIV/0!</v>
      </c>
    </row>
    <row r="16" spans="1:26" x14ac:dyDescent="0.3">
      <c r="A16" s="21">
        <v>2.5</v>
      </c>
      <c r="B16" s="21">
        <v>-4.5</v>
      </c>
      <c r="C16" s="31">
        <v>1.24098</v>
      </c>
      <c r="D16" s="31">
        <v>-3.77991999999999</v>
      </c>
      <c r="E16" s="21">
        <f t="shared" si="4"/>
        <v>5.7409800000000004</v>
      </c>
      <c r="F16" s="21">
        <f t="shared" si="0"/>
        <v>0.72008000000001005</v>
      </c>
      <c r="G16" s="21">
        <v>100</v>
      </c>
      <c r="H16" s="22">
        <v>100000</v>
      </c>
      <c r="I16" s="22">
        <f t="shared" si="1"/>
        <v>1.2590200000000001E-2</v>
      </c>
      <c r="J16" s="22">
        <f t="shared" si="2"/>
        <v>3.7799199999999901E-5</v>
      </c>
      <c r="K16" s="23">
        <f t="shared" si="3"/>
        <v>333.08112341002015</v>
      </c>
      <c r="L16" s="59"/>
      <c r="M16" s="24">
        <f>L12/I16</f>
        <v>9531.2226970183146</v>
      </c>
      <c r="N16" s="22">
        <f t="shared" si="5"/>
        <v>0.50360800000000006</v>
      </c>
      <c r="O16" s="23">
        <f t="shared" si="6"/>
        <v>661.38965904040469</v>
      </c>
      <c r="Z16" s="1" t="e">
        <f t="shared" si="7"/>
        <v>#DIV/0!</v>
      </c>
    </row>
    <row r="17" spans="1:26" x14ac:dyDescent="0.3">
      <c r="A17" s="21">
        <v>3</v>
      </c>
      <c r="B17" s="21">
        <v>-4.5</v>
      </c>
      <c r="C17" s="31">
        <v>1.7382599999999999</v>
      </c>
      <c r="D17" s="31">
        <v>-3.7826</v>
      </c>
      <c r="E17" s="21">
        <f t="shared" si="4"/>
        <v>6.2382600000000004</v>
      </c>
      <c r="F17" s="21">
        <f t="shared" si="0"/>
        <v>0.71740000000000004</v>
      </c>
      <c r="G17" s="21">
        <v>100</v>
      </c>
      <c r="H17" s="22">
        <v>100000</v>
      </c>
      <c r="I17" s="22">
        <f t="shared" si="1"/>
        <v>1.2617400000000001E-2</v>
      </c>
      <c r="J17" s="22">
        <f t="shared" si="2"/>
        <v>3.7826E-5</v>
      </c>
      <c r="K17" s="23">
        <f t="shared" si="3"/>
        <v>333.56421509014967</v>
      </c>
      <c r="L17" s="59"/>
      <c r="M17" s="24">
        <f>L12/I17</f>
        <v>9510.675733510865</v>
      </c>
      <c r="N17" s="22">
        <f t="shared" si="5"/>
        <v>0.50469600000000003</v>
      </c>
      <c r="O17" s="23">
        <f t="shared" si="6"/>
        <v>660.92105958864272</v>
      </c>
      <c r="Z17" s="1" t="e">
        <f t="shared" si="7"/>
        <v>#DIV/0!</v>
      </c>
    </row>
    <row r="18" spans="1:26" x14ac:dyDescent="0.3">
      <c r="A18" s="21">
        <v>3.5</v>
      </c>
      <c r="B18" s="21">
        <v>-4.5</v>
      </c>
      <c r="C18" s="31">
        <v>2.23332</v>
      </c>
      <c r="D18" s="31">
        <v>-3.7802600000000002</v>
      </c>
      <c r="E18" s="21">
        <f t="shared" si="4"/>
        <v>6.73332</v>
      </c>
      <c r="F18" s="21">
        <f t="shared" si="0"/>
        <v>0.71973999999999982</v>
      </c>
      <c r="G18" s="21">
        <v>100</v>
      </c>
      <c r="H18" s="22">
        <v>100000</v>
      </c>
      <c r="I18" s="22">
        <f t="shared" si="1"/>
        <v>1.2666800000000001E-2</v>
      </c>
      <c r="J18" s="22">
        <f t="shared" si="2"/>
        <v>3.7802600000000003E-5</v>
      </c>
      <c r="K18" s="23">
        <f t="shared" si="3"/>
        <v>335.07748144307533</v>
      </c>
      <c r="L18" s="59"/>
      <c r="M18" s="24">
        <f>L12/I18</f>
        <v>9473.5844885843308</v>
      </c>
      <c r="N18" s="22">
        <f t="shared" si="5"/>
        <v>0.50667200000000001</v>
      </c>
      <c r="O18" s="23">
        <f t="shared" si="6"/>
        <v>661.33017305687963</v>
      </c>
      <c r="Z18" s="1" t="e">
        <f t="shared" si="7"/>
        <v>#DIV/0!</v>
      </c>
    </row>
    <row r="19" spans="1:26" x14ac:dyDescent="0.3">
      <c r="A19" s="21">
        <v>4</v>
      </c>
      <c r="B19" s="21">
        <v>-4.5</v>
      </c>
      <c r="C19" s="31">
        <v>2.7280199999999999</v>
      </c>
      <c r="D19" s="31">
        <v>-3.7827600000000001</v>
      </c>
      <c r="E19" s="21">
        <f t="shared" si="4"/>
        <v>7.2280199999999999</v>
      </c>
      <c r="F19" s="21">
        <f t="shared" si="0"/>
        <v>0.71723999999999988</v>
      </c>
      <c r="G19" s="21">
        <v>100</v>
      </c>
      <c r="H19" s="22">
        <v>100000</v>
      </c>
      <c r="I19" s="22">
        <f t="shared" si="1"/>
        <v>1.2719800000000002E-2</v>
      </c>
      <c r="J19" s="22">
        <f t="shared" si="2"/>
        <v>3.7827600000000004E-5</v>
      </c>
      <c r="K19" s="23">
        <f t="shared" si="3"/>
        <v>336.25712442766655</v>
      </c>
      <c r="L19" s="59"/>
      <c r="M19" s="24">
        <f>L12/I19</f>
        <v>9434.1105992232569</v>
      </c>
      <c r="N19" s="22">
        <f t="shared" si="5"/>
        <v>0.50879200000000002</v>
      </c>
      <c r="O19" s="23">
        <f t="shared" si="6"/>
        <v>660.89310450570486</v>
      </c>
      <c r="Z19" s="1" t="e">
        <f t="shared" si="7"/>
        <v>#DIV/0!</v>
      </c>
    </row>
    <row r="20" spans="1:26" x14ac:dyDescent="0.3">
      <c r="A20" s="21">
        <v>4.5</v>
      </c>
      <c r="B20" s="21">
        <v>-4.5</v>
      </c>
      <c r="C20" s="31">
        <v>3.2231200000000002</v>
      </c>
      <c r="D20" s="31">
        <v>-3.7820399999999998</v>
      </c>
      <c r="E20" s="21">
        <f t="shared" si="4"/>
        <v>7.7231199999999998</v>
      </c>
      <c r="F20" s="21">
        <f t="shared" si="0"/>
        <v>0.71796000000000015</v>
      </c>
      <c r="G20" s="21">
        <v>100</v>
      </c>
      <c r="H20" s="22">
        <v>100000</v>
      </c>
      <c r="I20" s="22">
        <f t="shared" si="1"/>
        <v>1.2768799999999999E-2</v>
      </c>
      <c r="J20" s="22">
        <f t="shared" si="2"/>
        <v>3.7820400000000001E-5</v>
      </c>
      <c r="K20" s="23">
        <f t="shared" si="3"/>
        <v>337.61673594144952</v>
      </c>
      <c r="L20" s="59"/>
      <c r="M20" s="24">
        <f>L12/I20</f>
        <v>9397.9073992857593</v>
      </c>
      <c r="N20" s="22">
        <f t="shared" si="5"/>
        <v>0.51075199999999987</v>
      </c>
      <c r="O20" s="23">
        <f t="shared" si="6"/>
        <v>661.01892100559485</v>
      </c>
      <c r="Z20" s="1" t="e">
        <f t="shared" si="7"/>
        <v>#DIV/0!</v>
      </c>
    </row>
    <row r="21" spans="1:26" x14ac:dyDescent="0.3">
      <c r="A21" s="21">
        <v>5</v>
      </c>
      <c r="B21" s="21">
        <v>-4.5</v>
      </c>
      <c r="C21" s="31">
        <v>3.7190199999999898</v>
      </c>
      <c r="D21" s="31">
        <v>-3.7840799999999999</v>
      </c>
      <c r="E21" s="21">
        <f t="shared" si="4"/>
        <v>8.2190199999999898</v>
      </c>
      <c r="F21" s="21">
        <f t="shared" si="0"/>
        <v>0.71592000000000011</v>
      </c>
      <c r="G21" s="21">
        <v>100</v>
      </c>
      <c r="H21" s="22">
        <v>100000</v>
      </c>
      <c r="I21" s="22">
        <f t="shared" si="1"/>
        <v>1.2809800000000102E-2</v>
      </c>
      <c r="J21" s="22">
        <f t="shared" si="2"/>
        <v>3.7840799999999999E-5</v>
      </c>
      <c r="K21" s="23">
        <f t="shared" si="3"/>
        <v>338.51821314560215</v>
      </c>
      <c r="L21" s="59"/>
      <c r="M21" s="24">
        <f>L12/I21</f>
        <v>9367.8277568735684</v>
      </c>
      <c r="N21" s="22">
        <f t="shared" si="5"/>
        <v>0.51239200000000407</v>
      </c>
      <c r="O21" s="23">
        <f t="shared" si="6"/>
        <v>660.6625652734615</v>
      </c>
      <c r="Z21" s="1" t="e">
        <f t="shared" si="7"/>
        <v>#DIV/0!</v>
      </c>
    </row>
    <row r="22" spans="1:26" x14ac:dyDescent="0.3">
      <c r="A22" s="10">
        <v>0.5</v>
      </c>
      <c r="B22" s="10">
        <v>-4</v>
      </c>
      <c r="C22" s="32">
        <v>-0.54388000000000003</v>
      </c>
      <c r="D22" s="32">
        <v>-3.2961800000000001</v>
      </c>
      <c r="E22" s="10">
        <f t="shared" si="4"/>
        <v>3.4561199999999999</v>
      </c>
      <c r="F22" s="10">
        <f t="shared" si="0"/>
        <v>0.70381999999999989</v>
      </c>
      <c r="G22" s="10">
        <v>100</v>
      </c>
      <c r="H22" s="11">
        <v>100000</v>
      </c>
      <c r="I22" s="11">
        <f t="shared" si="1"/>
        <v>1.0438800000000002E-2</v>
      </c>
      <c r="J22" s="11">
        <f t="shared" si="2"/>
        <v>3.29618E-5</v>
      </c>
      <c r="K22" s="6">
        <f t="shared" si="3"/>
        <v>316.69386987361133</v>
      </c>
      <c r="L22" s="52">
        <f>Z22</f>
        <v>102</v>
      </c>
      <c r="M22" s="17">
        <f>L22/I22</f>
        <v>9771.2380733417613</v>
      </c>
      <c r="N22" s="11">
        <f t="shared" si="5"/>
        <v>0.41755200000000003</v>
      </c>
      <c r="O22" s="6">
        <f t="shared" si="6"/>
        <v>758.45372522131686</v>
      </c>
      <c r="X22" s="38">
        <v>1E-4</v>
      </c>
      <c r="Y22" s="37">
        <v>1.0200000000000001E-2</v>
      </c>
      <c r="Z22" s="37">
        <f t="shared" si="7"/>
        <v>102</v>
      </c>
    </row>
    <row r="23" spans="1:26" x14ac:dyDescent="0.3">
      <c r="A23" s="10">
        <v>1</v>
      </c>
      <c r="B23" s="10">
        <v>-4</v>
      </c>
      <c r="C23" s="32">
        <v>-5.5800000000000002E-2</v>
      </c>
      <c r="D23" s="32">
        <v>-3.2964399999999898</v>
      </c>
      <c r="E23" s="10">
        <f t="shared" si="4"/>
        <v>3.9441999999999999</v>
      </c>
      <c r="F23" s="10">
        <f t="shared" si="0"/>
        <v>0.70356000000001018</v>
      </c>
      <c r="G23" s="10">
        <v>100</v>
      </c>
      <c r="H23" s="11">
        <v>100000</v>
      </c>
      <c r="I23" s="11">
        <f t="shared" si="1"/>
        <v>1.0558000000000001E-2</v>
      </c>
      <c r="J23" s="11">
        <f t="shared" si="2"/>
        <v>3.2964399999999897E-5</v>
      </c>
      <c r="K23" s="6">
        <f t="shared" si="3"/>
        <v>320.284913421753</v>
      </c>
      <c r="L23" s="57"/>
      <c r="M23" s="17">
        <f>L22/I23</f>
        <v>9660.920628906988</v>
      </c>
      <c r="N23" s="11">
        <f t="shared" si="5"/>
        <v>0.42232000000000003</v>
      </c>
      <c r="O23" s="6">
        <f t="shared" si="6"/>
        <v>758.39390372644664</v>
      </c>
      <c r="Z23" s="1" t="e">
        <f t="shared" si="7"/>
        <v>#DIV/0!</v>
      </c>
    </row>
    <row r="24" spans="1:26" x14ac:dyDescent="0.3">
      <c r="A24" s="10">
        <v>1.5</v>
      </c>
      <c r="B24" s="10">
        <v>-4</v>
      </c>
      <c r="C24" s="32">
        <v>0.43025999999999998</v>
      </c>
      <c r="D24" s="32">
        <v>-3.2813400000000001</v>
      </c>
      <c r="E24" s="10">
        <f t="shared" si="4"/>
        <v>4.4302599999999996</v>
      </c>
      <c r="F24" s="10">
        <f t="shared" si="0"/>
        <v>0.71865999999999985</v>
      </c>
      <c r="G24" s="10">
        <v>100</v>
      </c>
      <c r="H24" s="11">
        <v>100000</v>
      </c>
      <c r="I24" s="11">
        <f t="shared" si="1"/>
        <v>1.0697399999999999E-2</v>
      </c>
      <c r="J24" s="11">
        <f t="shared" si="2"/>
        <v>3.28134E-5</v>
      </c>
      <c r="K24" s="6">
        <f t="shared" si="3"/>
        <v>326.00705809212087</v>
      </c>
      <c r="L24" s="57"/>
      <c r="M24" s="17">
        <f>L22/I24</f>
        <v>9535.0272028717263</v>
      </c>
      <c r="N24" s="11">
        <f t="shared" si="5"/>
        <v>0.42789599999999994</v>
      </c>
      <c r="O24" s="6">
        <f t="shared" si="6"/>
        <v>761.88386451876374</v>
      </c>
      <c r="Z24" s="1" t="e">
        <f t="shared" si="7"/>
        <v>#DIV/0!</v>
      </c>
    </row>
    <row r="25" spans="1:26" x14ac:dyDescent="0.3">
      <c r="A25" s="10">
        <v>2</v>
      </c>
      <c r="B25" s="10">
        <v>-4</v>
      </c>
      <c r="C25" s="32">
        <v>0.93259999999999998</v>
      </c>
      <c r="D25" s="32">
        <v>-3.2877000000000001</v>
      </c>
      <c r="E25" s="10">
        <f t="shared" si="4"/>
        <v>4.9325999999999999</v>
      </c>
      <c r="F25" s="10">
        <f t="shared" si="0"/>
        <v>0.71229999999999993</v>
      </c>
      <c r="G25" s="10">
        <v>100</v>
      </c>
      <c r="H25" s="11">
        <v>100000</v>
      </c>
      <c r="I25" s="11">
        <f t="shared" si="1"/>
        <v>1.0674000000000001E-2</v>
      </c>
      <c r="J25" s="11">
        <f t="shared" si="2"/>
        <v>3.2877000000000004E-5</v>
      </c>
      <c r="K25" s="6">
        <f t="shared" si="3"/>
        <v>324.66465918423216</v>
      </c>
      <c r="L25" s="57"/>
      <c r="M25" s="17">
        <f>L22/I25</f>
        <v>9555.9302979201784</v>
      </c>
      <c r="N25" s="11">
        <f t="shared" si="5"/>
        <v>0.42696000000000001</v>
      </c>
      <c r="O25" s="6">
        <f t="shared" si="6"/>
        <v>760.41001307905219</v>
      </c>
      <c r="Z25" s="1" t="e">
        <f t="shared" si="7"/>
        <v>#DIV/0!</v>
      </c>
    </row>
    <row r="26" spans="1:26" x14ac:dyDescent="0.3">
      <c r="A26" s="10">
        <v>2.5</v>
      </c>
      <c r="B26" s="10">
        <v>-4</v>
      </c>
      <c r="C26" s="32">
        <v>1.4286399999999999</v>
      </c>
      <c r="D26" s="32">
        <v>-3.2905799999999998</v>
      </c>
      <c r="E26" s="10">
        <f t="shared" si="4"/>
        <v>5.4286399999999997</v>
      </c>
      <c r="F26" s="10">
        <f t="shared" si="0"/>
        <v>0.70942000000000016</v>
      </c>
      <c r="G26" s="10">
        <v>100</v>
      </c>
      <c r="H26" s="11">
        <v>100000</v>
      </c>
      <c r="I26" s="11">
        <f t="shared" si="1"/>
        <v>1.07136E-2</v>
      </c>
      <c r="J26" s="11">
        <f t="shared" si="2"/>
        <v>3.2905799999999999E-5</v>
      </c>
      <c r="K26" s="6">
        <f t="shared" si="3"/>
        <v>325.58393960943056</v>
      </c>
      <c r="L26" s="57"/>
      <c r="M26" s="17">
        <f>L22/I26</f>
        <v>9520.6093189964158</v>
      </c>
      <c r="N26" s="11">
        <f t="shared" si="5"/>
        <v>0.42854399999999998</v>
      </c>
      <c r="O26" s="6">
        <f t="shared" si="6"/>
        <v>759.74448273556641</v>
      </c>
      <c r="Z26" s="1" t="e">
        <f t="shared" si="7"/>
        <v>#DIV/0!</v>
      </c>
    </row>
    <row r="27" spans="1:26" x14ac:dyDescent="0.3">
      <c r="A27" s="10">
        <v>3</v>
      </c>
      <c r="B27" s="10">
        <v>-4</v>
      </c>
      <c r="C27" s="32">
        <v>1.9237599999999999</v>
      </c>
      <c r="D27" s="32">
        <v>-3.2873600000000001</v>
      </c>
      <c r="E27" s="10">
        <f t="shared" si="4"/>
        <v>5.9237599999999997</v>
      </c>
      <c r="F27" s="10">
        <f t="shared" si="0"/>
        <v>0.71263999999999994</v>
      </c>
      <c r="G27" s="10">
        <v>100</v>
      </c>
      <c r="H27" s="11">
        <v>100000</v>
      </c>
      <c r="I27" s="11">
        <f t="shared" si="1"/>
        <v>1.07624E-2</v>
      </c>
      <c r="J27" s="11">
        <f t="shared" si="2"/>
        <v>3.2873600000000003E-5</v>
      </c>
      <c r="K27" s="6">
        <f t="shared" si="3"/>
        <v>327.38732600019466</v>
      </c>
      <c r="L27" s="57"/>
      <c r="M27" s="17">
        <f>L22/I27</f>
        <v>9477.4399762134835</v>
      </c>
      <c r="N27" s="11">
        <f t="shared" si="5"/>
        <v>0.43049599999999999</v>
      </c>
      <c r="O27" s="6">
        <f t="shared" si="6"/>
        <v>760.48865959310808</v>
      </c>
      <c r="Z27" s="1" t="e">
        <f t="shared" si="7"/>
        <v>#DIV/0!</v>
      </c>
    </row>
    <row r="28" spans="1:26" x14ac:dyDescent="0.3">
      <c r="A28" s="10">
        <v>3.5</v>
      </c>
      <c r="B28" s="10">
        <v>-4</v>
      </c>
      <c r="C28" s="32">
        <v>2.42105999999999</v>
      </c>
      <c r="D28" s="32">
        <v>-3.28952</v>
      </c>
      <c r="E28" s="10">
        <f t="shared" si="4"/>
        <v>6.42105999999999</v>
      </c>
      <c r="F28" s="10">
        <f t="shared" si="0"/>
        <v>0.71048</v>
      </c>
      <c r="G28" s="10">
        <v>100</v>
      </c>
      <c r="H28" s="11">
        <v>100000</v>
      </c>
      <c r="I28" s="11">
        <f t="shared" si="1"/>
        <v>1.07894000000001E-2</v>
      </c>
      <c r="J28" s="11">
        <f t="shared" si="2"/>
        <v>3.2895200000000003E-5</v>
      </c>
      <c r="K28" s="6">
        <f t="shared" si="3"/>
        <v>327.99314185656567</v>
      </c>
      <c r="L28" s="57"/>
      <c r="M28" s="17">
        <f>L22/I28</f>
        <v>9453.7230985966835</v>
      </c>
      <c r="N28" s="11">
        <f t="shared" si="5"/>
        <v>0.43157600000000396</v>
      </c>
      <c r="O28" s="6">
        <f t="shared" si="6"/>
        <v>759.98929935066508</v>
      </c>
      <c r="Z28" s="1" t="e">
        <f t="shared" si="7"/>
        <v>#DIV/0!</v>
      </c>
    </row>
    <row r="29" spans="1:26" x14ac:dyDescent="0.3">
      <c r="A29" s="10">
        <v>4</v>
      </c>
      <c r="B29" s="10">
        <v>-4</v>
      </c>
      <c r="C29" s="32">
        <v>2.9175599999999999</v>
      </c>
      <c r="D29" s="32">
        <v>-3.2906199999999899</v>
      </c>
      <c r="E29" s="10">
        <f t="shared" si="4"/>
        <v>6.9175599999999999</v>
      </c>
      <c r="F29" s="10">
        <f t="shared" si="0"/>
        <v>0.70938000000001011</v>
      </c>
      <c r="G29" s="10">
        <v>100</v>
      </c>
      <c r="H29" s="11">
        <v>100000</v>
      </c>
      <c r="I29" s="11">
        <f t="shared" si="1"/>
        <v>1.0824400000000001E-2</v>
      </c>
      <c r="J29" s="11">
        <f t="shared" si="2"/>
        <v>3.2906199999999898E-5</v>
      </c>
      <c r="K29" s="6">
        <f t="shared" si="3"/>
        <v>328.94712850465976</v>
      </c>
      <c r="L29" s="57"/>
      <c r="M29" s="17">
        <f>L22/I29</f>
        <v>9423.1550940467823</v>
      </c>
      <c r="N29" s="11">
        <f t="shared" si="5"/>
        <v>0.43297600000000003</v>
      </c>
      <c r="O29" s="6">
        <f t="shared" si="6"/>
        <v>759.73524746096723</v>
      </c>
      <c r="Z29" s="1" t="e">
        <f t="shared" si="7"/>
        <v>#DIV/0!</v>
      </c>
    </row>
    <row r="30" spans="1:26" x14ac:dyDescent="0.3">
      <c r="A30" s="10">
        <v>4.5</v>
      </c>
      <c r="B30" s="10">
        <v>-4</v>
      </c>
      <c r="C30" s="32">
        <v>3.4135</v>
      </c>
      <c r="D30" s="32">
        <v>-3.2918599999999998</v>
      </c>
      <c r="E30" s="10">
        <f t="shared" si="4"/>
        <v>7.4135</v>
      </c>
      <c r="F30" s="10">
        <f t="shared" si="0"/>
        <v>0.70814000000000021</v>
      </c>
      <c r="G30" s="10">
        <v>100</v>
      </c>
      <c r="H30" s="11">
        <v>100000</v>
      </c>
      <c r="I30" s="11">
        <f t="shared" si="1"/>
        <v>1.0865E-2</v>
      </c>
      <c r="J30" s="11">
        <f t="shared" si="2"/>
        <v>3.29186E-5</v>
      </c>
      <c r="K30" s="6">
        <f t="shared" si="3"/>
        <v>330.05656376638132</v>
      </c>
      <c r="L30" s="57"/>
      <c r="M30" s="17">
        <f>L22/I30</f>
        <v>9387.9429360331342</v>
      </c>
      <c r="N30" s="11">
        <f t="shared" si="5"/>
        <v>0.43459999999999999</v>
      </c>
      <c r="O30" s="6">
        <f t="shared" si="6"/>
        <v>759.4490652700905</v>
      </c>
      <c r="Z30" s="1" t="e">
        <f t="shared" si="7"/>
        <v>#DIV/0!</v>
      </c>
    </row>
    <row r="31" spans="1:26" x14ac:dyDescent="0.3">
      <c r="A31" s="10">
        <v>5</v>
      </c>
      <c r="B31" s="10">
        <v>-4</v>
      </c>
      <c r="C31" s="32">
        <v>3.9049799999999899</v>
      </c>
      <c r="D31" s="32">
        <v>-3.286</v>
      </c>
      <c r="E31" s="10">
        <f t="shared" si="4"/>
        <v>7.9049799999999895</v>
      </c>
      <c r="F31" s="10">
        <f t="shared" si="0"/>
        <v>0.71399999999999997</v>
      </c>
      <c r="G31" s="10">
        <v>100</v>
      </c>
      <c r="H31" s="11">
        <v>100000</v>
      </c>
      <c r="I31" s="11">
        <f t="shared" si="1"/>
        <v>1.0950200000000101E-2</v>
      </c>
      <c r="J31" s="11">
        <f t="shared" si="2"/>
        <v>3.286E-5</v>
      </c>
      <c r="K31" s="6">
        <f t="shared" si="3"/>
        <v>333.23797930615035</v>
      </c>
      <c r="L31" s="57"/>
      <c r="M31" s="17">
        <f>L22/I31</f>
        <v>9314.8983580207714</v>
      </c>
      <c r="N31" s="11">
        <f t="shared" si="5"/>
        <v>0.43800800000000401</v>
      </c>
      <c r="O31" s="6">
        <f t="shared" si="6"/>
        <v>760.80340839926964</v>
      </c>
      <c r="Z31" s="1" t="e">
        <f t="shared" si="7"/>
        <v>#DIV/0!</v>
      </c>
    </row>
    <row r="32" spans="1:26" x14ac:dyDescent="0.3">
      <c r="A32" s="12">
        <v>0.5</v>
      </c>
      <c r="B32" s="12">
        <v>-3.5</v>
      </c>
      <c r="C32" s="33">
        <v>-0.38103999999999999</v>
      </c>
      <c r="D32" s="33">
        <v>-2.8007399999999998</v>
      </c>
      <c r="E32" s="12"/>
      <c r="F32" s="12">
        <f t="shared" si="0"/>
        <v>0.69926000000000021</v>
      </c>
      <c r="G32" s="12">
        <v>100</v>
      </c>
      <c r="H32" s="13">
        <v>100000</v>
      </c>
      <c r="I32" s="13">
        <f t="shared" si="1"/>
        <v>8.8104000000000012E-3</v>
      </c>
      <c r="J32" s="13">
        <f t="shared" si="2"/>
        <v>2.8007399999999999E-5</v>
      </c>
      <c r="K32" s="7">
        <f t="shared" si="3"/>
        <v>314.5740054414191</v>
      </c>
      <c r="L32" s="54">
        <f>Z33</f>
        <v>124.28571428571429</v>
      </c>
      <c r="M32" s="18">
        <f>L32/I32</f>
        <v>14106.705062847803</v>
      </c>
      <c r="N32" s="13">
        <f t="shared" si="5"/>
        <v>0.35241600000000001</v>
      </c>
      <c r="O32" s="7">
        <f t="shared" si="6"/>
        <v>892.6212358162486</v>
      </c>
      <c r="Z32" s="1" t="e">
        <f t="shared" si="7"/>
        <v>#DIV/0!</v>
      </c>
    </row>
    <row r="33" spans="1:26" x14ac:dyDescent="0.3">
      <c r="A33" s="12">
        <v>1</v>
      </c>
      <c r="B33" s="12">
        <v>-3.5</v>
      </c>
      <c r="C33" s="33">
        <v>0.10453999999999999</v>
      </c>
      <c r="D33" s="33">
        <v>-2.7847400000000002</v>
      </c>
      <c r="E33" s="12">
        <f t="shared" si="4"/>
        <v>3.6045400000000001</v>
      </c>
      <c r="F33" s="12">
        <f t="shared" si="0"/>
        <v>0.71525999999999978</v>
      </c>
      <c r="G33" s="12">
        <v>100</v>
      </c>
      <c r="H33" s="13">
        <v>100000</v>
      </c>
      <c r="I33" s="13">
        <f t="shared" si="1"/>
        <v>8.9546000000000001E-3</v>
      </c>
      <c r="J33" s="13">
        <f t="shared" si="2"/>
        <v>2.7847400000000004E-5</v>
      </c>
      <c r="K33" s="7">
        <f t="shared" si="3"/>
        <v>321.55964291100781</v>
      </c>
      <c r="L33" s="60"/>
      <c r="M33" s="18">
        <f>L32/I33</f>
        <v>13879.538369744521</v>
      </c>
      <c r="N33" s="13">
        <f t="shared" si="5"/>
        <v>0.358184</v>
      </c>
      <c r="O33" s="7">
        <f t="shared" si="6"/>
        <v>897.74987970151608</v>
      </c>
      <c r="X33" s="38">
        <v>6.9999999999999994E-5</v>
      </c>
      <c r="Y33" s="37">
        <v>8.6999999999999994E-3</v>
      </c>
      <c r="Z33" s="37">
        <f t="shared" si="7"/>
        <v>124.28571428571429</v>
      </c>
    </row>
    <row r="34" spans="1:26" x14ac:dyDescent="0.3">
      <c r="A34" s="12">
        <v>1.5</v>
      </c>
      <c r="B34" s="12">
        <v>-3.5</v>
      </c>
      <c r="C34" s="33">
        <v>0.60331999999999997</v>
      </c>
      <c r="D34" s="33">
        <v>-2.7867000000000002</v>
      </c>
      <c r="E34" s="12">
        <f t="shared" si="4"/>
        <v>4.1033200000000001</v>
      </c>
      <c r="F34" s="12">
        <f t="shared" si="0"/>
        <v>0.71329999999999982</v>
      </c>
      <c r="G34" s="12">
        <v>100</v>
      </c>
      <c r="H34" s="13">
        <v>100000</v>
      </c>
      <c r="I34" s="13">
        <f t="shared" si="1"/>
        <v>8.9668000000000005E-3</v>
      </c>
      <c r="J34" s="13">
        <f t="shared" si="2"/>
        <v>2.7867000000000003E-5</v>
      </c>
      <c r="K34" s="7">
        <f t="shared" si="3"/>
        <v>321.77127067858038</v>
      </c>
      <c r="L34" s="60"/>
      <c r="M34" s="18">
        <f>L32/I34</f>
        <v>13860.654222879321</v>
      </c>
      <c r="N34" s="13">
        <f t="shared" si="5"/>
        <v>0.35867199999999999</v>
      </c>
      <c r="O34" s="7">
        <f t="shared" si="6"/>
        <v>897.11845552086697</v>
      </c>
      <c r="Z34" s="1" t="e">
        <f t="shared" si="7"/>
        <v>#DIV/0!</v>
      </c>
    </row>
    <row r="35" spans="1:26" x14ac:dyDescent="0.3">
      <c r="A35" s="12">
        <v>2</v>
      </c>
      <c r="B35" s="12">
        <v>-3.5</v>
      </c>
      <c r="C35" s="33">
        <v>1.0984</v>
      </c>
      <c r="D35" s="33">
        <v>-2.7851599999999999</v>
      </c>
      <c r="E35" s="12">
        <f t="shared" si="4"/>
        <v>4.5983999999999998</v>
      </c>
      <c r="F35" s="12">
        <f t="shared" si="0"/>
        <v>0.71484000000000014</v>
      </c>
      <c r="G35" s="12">
        <v>100</v>
      </c>
      <c r="H35" s="13">
        <v>100000</v>
      </c>
      <c r="I35" s="13">
        <f t="shared" si="1"/>
        <v>9.0159999999999997E-3</v>
      </c>
      <c r="J35" s="13">
        <f t="shared" si="2"/>
        <v>2.7851599999999999E-5</v>
      </c>
      <c r="K35" s="7">
        <f t="shared" si="3"/>
        <v>323.71569317382125</v>
      </c>
      <c r="L35" s="60"/>
      <c r="M35" s="18">
        <f>L32/I35</f>
        <v>13785.017112435038</v>
      </c>
      <c r="N35" s="13">
        <f t="shared" si="5"/>
        <v>0.36063999999999996</v>
      </c>
      <c r="O35" s="7">
        <f t="shared" si="6"/>
        <v>897.61449970558249</v>
      </c>
      <c r="Z35" s="1" t="e">
        <f t="shared" si="7"/>
        <v>#DIV/0!</v>
      </c>
    </row>
    <row r="36" spans="1:26" x14ac:dyDescent="0.3">
      <c r="A36" s="12">
        <v>2.5</v>
      </c>
      <c r="B36" s="12">
        <v>-3.5</v>
      </c>
      <c r="C36" s="33">
        <v>1.59626</v>
      </c>
      <c r="D36" s="33">
        <v>-2.7869199999999998</v>
      </c>
      <c r="E36" s="12">
        <f t="shared" si="4"/>
        <v>5.09626</v>
      </c>
      <c r="F36" s="12">
        <f t="shared" si="0"/>
        <v>0.71308000000000016</v>
      </c>
      <c r="G36" s="12">
        <v>100</v>
      </c>
      <c r="H36" s="13">
        <v>100000</v>
      </c>
      <c r="I36" s="13">
        <f t="shared" si="1"/>
        <v>9.0373999999999993E-3</v>
      </c>
      <c r="J36" s="13">
        <f t="shared" si="2"/>
        <v>2.7869199999999997E-5</v>
      </c>
      <c r="K36" s="7">
        <f t="shared" si="3"/>
        <v>324.27913251905329</v>
      </c>
      <c r="L36" s="60"/>
      <c r="M36" s="18">
        <f>L32/I36</f>
        <v>13752.375050978633</v>
      </c>
      <c r="N36" s="13">
        <f t="shared" si="5"/>
        <v>0.36149599999999993</v>
      </c>
      <c r="O36" s="7">
        <f t="shared" si="6"/>
        <v>897.04763681770567</v>
      </c>
      <c r="Z36" s="1" t="e">
        <f t="shared" si="7"/>
        <v>#DIV/0!</v>
      </c>
    </row>
    <row r="37" spans="1:26" x14ac:dyDescent="0.3">
      <c r="A37" s="12">
        <v>3</v>
      </c>
      <c r="B37" s="12">
        <v>-3.5</v>
      </c>
      <c r="C37" s="33">
        <v>2.0924200000000002</v>
      </c>
      <c r="D37" s="33">
        <v>-2.7844600000000002</v>
      </c>
      <c r="E37" s="12">
        <f t="shared" si="4"/>
        <v>5.5924200000000006</v>
      </c>
      <c r="F37" s="12">
        <f t="shared" si="0"/>
        <v>0.71553999999999984</v>
      </c>
      <c r="G37" s="12">
        <v>100</v>
      </c>
      <c r="H37" s="13">
        <v>100000</v>
      </c>
      <c r="I37" s="13">
        <f t="shared" si="1"/>
        <v>9.0757999999999985E-3</v>
      </c>
      <c r="J37" s="13">
        <f t="shared" si="2"/>
        <v>2.7844600000000001E-5</v>
      </c>
      <c r="K37" s="7">
        <f t="shared" si="3"/>
        <v>325.94470741185</v>
      </c>
      <c r="L37" s="60"/>
      <c r="M37" s="18">
        <f>L32/I37</f>
        <v>13694.18831240379</v>
      </c>
      <c r="N37" s="13">
        <f t="shared" si="5"/>
        <v>0.36303199999999991</v>
      </c>
      <c r="O37" s="7">
        <f t="shared" si="6"/>
        <v>897.84015572139663</v>
      </c>
      <c r="Z37" s="1" t="e">
        <f t="shared" si="7"/>
        <v>#DIV/0!</v>
      </c>
    </row>
    <row r="38" spans="1:26" x14ac:dyDescent="0.3">
      <c r="A38" s="12">
        <v>3.5</v>
      </c>
      <c r="B38" s="12">
        <v>-3.5</v>
      </c>
      <c r="C38" s="33">
        <v>2.5908600000000002</v>
      </c>
      <c r="D38" s="33">
        <v>-2.7878599999999998</v>
      </c>
      <c r="E38" s="12">
        <f t="shared" si="4"/>
        <v>6.0908600000000002</v>
      </c>
      <c r="F38" s="12">
        <f t="shared" si="0"/>
        <v>0.71214000000000022</v>
      </c>
      <c r="G38" s="12">
        <v>100</v>
      </c>
      <c r="H38" s="13">
        <v>100000</v>
      </c>
      <c r="I38" s="13">
        <f t="shared" si="1"/>
        <v>9.0913999999999977E-3</v>
      </c>
      <c r="J38" s="13">
        <f t="shared" si="2"/>
        <v>2.7878599999999998E-5</v>
      </c>
      <c r="K38" s="7">
        <f t="shared" si="3"/>
        <v>326.10676289340205</v>
      </c>
      <c r="L38" s="60"/>
      <c r="M38" s="18">
        <f>L32/I38</f>
        <v>13670.690354149452</v>
      </c>
      <c r="N38" s="13">
        <f t="shared" si="5"/>
        <v>0.36365599999999987</v>
      </c>
      <c r="O38" s="7">
        <f t="shared" si="6"/>
        <v>896.74517371747515</v>
      </c>
      <c r="Z38" s="1" t="e">
        <f t="shared" si="7"/>
        <v>#DIV/0!</v>
      </c>
    </row>
    <row r="39" spans="1:26" x14ac:dyDescent="0.3">
      <c r="A39" s="12">
        <v>4</v>
      </c>
      <c r="B39" s="12">
        <v>-3.5</v>
      </c>
      <c r="C39" s="33">
        <v>3.0863999999999998</v>
      </c>
      <c r="D39" s="33">
        <v>-2.78742</v>
      </c>
      <c r="E39" s="12">
        <f t="shared" si="4"/>
        <v>6.5863999999999994</v>
      </c>
      <c r="F39" s="12">
        <f t="shared" si="0"/>
        <v>0.71257999999999999</v>
      </c>
      <c r="G39" s="12">
        <v>100</v>
      </c>
      <c r="H39" s="13">
        <v>100000</v>
      </c>
      <c r="I39" s="13">
        <f t="shared" si="1"/>
        <v>9.1360000000000018E-3</v>
      </c>
      <c r="J39" s="13">
        <f t="shared" si="2"/>
        <v>2.7874200000000002E-5</v>
      </c>
      <c r="K39" s="7">
        <f t="shared" si="3"/>
        <v>327.75828543958215</v>
      </c>
      <c r="L39" s="60"/>
      <c r="M39" s="18">
        <f>L32/I39</f>
        <v>13603.952964723541</v>
      </c>
      <c r="N39" s="13">
        <f t="shared" si="5"/>
        <v>0.36544000000000004</v>
      </c>
      <c r="O39" s="7">
        <f t="shared" si="6"/>
        <v>896.88672679395279</v>
      </c>
      <c r="Z39" s="1" t="e">
        <f t="shared" si="7"/>
        <v>#DIV/0!</v>
      </c>
    </row>
    <row r="40" spans="1:26" x14ac:dyDescent="0.3">
      <c r="A40" s="12">
        <v>4.5</v>
      </c>
      <c r="B40" s="12">
        <v>-3.5</v>
      </c>
      <c r="C40" s="33">
        <v>3.58222</v>
      </c>
      <c r="D40" s="33">
        <v>-2.7892199999999998</v>
      </c>
      <c r="E40" s="12">
        <f t="shared" si="4"/>
        <v>7.0822199999999995</v>
      </c>
      <c r="F40" s="12">
        <f t="shared" si="0"/>
        <v>0.71078000000000019</v>
      </c>
      <c r="G40" s="12">
        <v>100</v>
      </c>
      <c r="H40" s="13">
        <v>100000</v>
      </c>
      <c r="I40" s="13">
        <f t="shared" si="1"/>
        <v>9.1777999999999998E-3</v>
      </c>
      <c r="J40" s="13">
        <f t="shared" si="2"/>
        <v>2.7892199999999997E-5</v>
      </c>
      <c r="K40" s="7">
        <f t="shared" si="3"/>
        <v>329.04539620395667</v>
      </c>
      <c r="L40" s="60"/>
      <c r="M40" s="18">
        <f>L32/I40</f>
        <v>13541.994190951458</v>
      </c>
      <c r="N40" s="13">
        <f t="shared" si="5"/>
        <v>0.36711199999999999</v>
      </c>
      <c r="O40" s="7">
        <f t="shared" si="6"/>
        <v>896.30792838141144</v>
      </c>
      <c r="Z40" s="1" t="e">
        <f t="shared" si="7"/>
        <v>#DIV/0!</v>
      </c>
    </row>
    <row r="41" spans="1:26" x14ac:dyDescent="0.3">
      <c r="A41" s="12">
        <v>5</v>
      </c>
      <c r="B41" s="12">
        <v>-3.5</v>
      </c>
      <c r="C41" s="33">
        <v>4.0762999999999998</v>
      </c>
      <c r="D41" s="33">
        <v>-2.7837999999999998</v>
      </c>
      <c r="E41" s="12">
        <f t="shared" si="4"/>
        <v>7.5762999999999998</v>
      </c>
      <c r="F41" s="12">
        <f t="shared" si="0"/>
        <v>0.71620000000000017</v>
      </c>
      <c r="G41" s="12">
        <v>100</v>
      </c>
      <c r="H41" s="13">
        <v>100000</v>
      </c>
      <c r="I41" s="13">
        <f t="shared" si="1"/>
        <v>9.2370000000000022E-3</v>
      </c>
      <c r="J41" s="13">
        <f t="shared" si="2"/>
        <v>2.7837999999999997E-5</v>
      </c>
      <c r="K41" s="7">
        <f t="shared" si="3"/>
        <v>331.81263021768819</v>
      </c>
      <c r="L41" s="60"/>
      <c r="M41" s="18">
        <f>L32/I41</f>
        <v>13455.203451955642</v>
      </c>
      <c r="N41" s="13">
        <f t="shared" si="5"/>
        <v>0.36948000000000009</v>
      </c>
      <c r="O41" s="7">
        <f t="shared" si="6"/>
        <v>898.05302105036299</v>
      </c>
      <c r="Z41" s="1" t="e">
        <f t="shared" si="7"/>
        <v>#DIV/0!</v>
      </c>
    </row>
    <row r="42" spans="1:26" x14ac:dyDescent="0.3">
      <c r="A42" s="8">
        <v>0.5</v>
      </c>
      <c r="B42" s="8">
        <v>-3</v>
      </c>
      <c r="C42" s="30">
        <v>-0.2127</v>
      </c>
      <c r="D42" s="30">
        <v>-2.3041399999999999</v>
      </c>
      <c r="E42" s="8">
        <f t="shared" si="4"/>
        <v>2.7873000000000001</v>
      </c>
      <c r="F42" s="8">
        <f t="shared" si="0"/>
        <v>0.69586000000000015</v>
      </c>
      <c r="G42" s="8">
        <v>100</v>
      </c>
      <c r="H42" s="9">
        <v>100000</v>
      </c>
      <c r="I42" s="9">
        <f t="shared" si="1"/>
        <v>7.1269999999999997E-3</v>
      </c>
      <c r="J42" s="9">
        <f t="shared" si="2"/>
        <v>2.3041399999999999E-5</v>
      </c>
      <c r="K42" s="5">
        <f t="shared" si="3"/>
        <v>309.31280217347904</v>
      </c>
      <c r="L42" s="55">
        <f>Z43</f>
        <v>100.00000000000001</v>
      </c>
      <c r="M42" s="16">
        <f>L42/I42</f>
        <v>14031.149151115478</v>
      </c>
      <c r="N42" s="9">
        <f t="shared" si="5"/>
        <v>0.28507999999999994</v>
      </c>
      <c r="O42" s="5">
        <f t="shared" si="6"/>
        <v>1085.00351541139</v>
      </c>
      <c r="Z42" s="1" t="e">
        <f t="shared" si="7"/>
        <v>#DIV/0!</v>
      </c>
    </row>
    <row r="43" spans="1:26" x14ac:dyDescent="0.3">
      <c r="A43" s="8">
        <v>1</v>
      </c>
      <c r="B43" s="8">
        <v>-3</v>
      </c>
      <c r="C43" s="30">
        <v>0.2762</v>
      </c>
      <c r="D43" s="30">
        <v>-2.2883599999999999</v>
      </c>
      <c r="E43" s="8">
        <f t="shared" si="4"/>
        <v>3.2762000000000002</v>
      </c>
      <c r="F43" s="8">
        <f t="shared" si="0"/>
        <v>0.71164000000000005</v>
      </c>
      <c r="G43" s="8">
        <v>100</v>
      </c>
      <c r="H43" s="9">
        <v>100000</v>
      </c>
      <c r="I43" s="9">
        <f t="shared" si="1"/>
        <v>7.2379999999999996E-3</v>
      </c>
      <c r="J43" s="9">
        <f t="shared" si="2"/>
        <v>2.2883599999999999E-5</v>
      </c>
      <c r="K43" s="5">
        <f t="shared" si="3"/>
        <v>316.29638693212604</v>
      </c>
      <c r="L43" s="61"/>
      <c r="M43" s="16">
        <f>L42/I43</f>
        <v>13815.971262779776</v>
      </c>
      <c r="N43" s="9">
        <f t="shared" si="5"/>
        <v>0.28951999999999994</v>
      </c>
      <c r="O43" s="5">
        <f t="shared" si="6"/>
        <v>1092.4854480938316</v>
      </c>
      <c r="X43" s="37">
        <v>6.9999999999999994E-5</v>
      </c>
      <c r="Y43" s="37">
        <v>7.0000000000000001E-3</v>
      </c>
      <c r="Z43" s="37">
        <f t="shared" si="7"/>
        <v>100.00000000000001</v>
      </c>
    </row>
    <row r="44" spans="1:26" x14ac:dyDescent="0.3">
      <c r="A44" s="8">
        <v>1.5</v>
      </c>
      <c r="B44" s="8">
        <v>-3</v>
      </c>
      <c r="C44" s="30">
        <v>0.77236000000000005</v>
      </c>
      <c r="D44" s="30">
        <v>-2.2903799999999999</v>
      </c>
      <c r="E44" s="8">
        <f t="shared" si="4"/>
        <v>3.7723599999999999</v>
      </c>
      <c r="F44" s="8">
        <f t="shared" si="0"/>
        <v>0.70962000000000014</v>
      </c>
      <c r="G44" s="8">
        <v>100</v>
      </c>
      <c r="H44" s="9">
        <v>100000</v>
      </c>
      <c r="I44" s="9">
        <f t="shared" si="1"/>
        <v>7.2763999999999997E-3</v>
      </c>
      <c r="J44" s="9">
        <f t="shared" si="2"/>
        <v>2.2903799999999999E-5</v>
      </c>
      <c r="K44" s="5">
        <f t="shared" si="3"/>
        <v>317.69400710799079</v>
      </c>
      <c r="L44" s="61"/>
      <c r="M44" s="16">
        <f>L42/I44</f>
        <v>13743.059754823817</v>
      </c>
      <c r="N44" s="9">
        <f t="shared" si="5"/>
        <v>0.29105599999999998</v>
      </c>
      <c r="O44" s="5">
        <f t="shared" si="6"/>
        <v>1091.521930858635</v>
      </c>
      <c r="Z44" s="1" t="e">
        <f t="shared" si="7"/>
        <v>#DIV/0!</v>
      </c>
    </row>
    <row r="45" spans="1:26" x14ac:dyDescent="0.3">
      <c r="A45" s="8">
        <v>2</v>
      </c>
      <c r="B45" s="8">
        <v>-3</v>
      </c>
      <c r="C45" s="30">
        <v>1.2685</v>
      </c>
      <c r="D45" s="30">
        <v>-2.2894800000000002</v>
      </c>
      <c r="E45" s="8">
        <f t="shared" si="4"/>
        <v>4.2684999999999995</v>
      </c>
      <c r="F45" s="8">
        <f t="shared" si="0"/>
        <v>0.71051999999999982</v>
      </c>
      <c r="G45" s="8">
        <v>100</v>
      </c>
      <c r="H45" s="9">
        <v>100000</v>
      </c>
      <c r="I45" s="9">
        <f t="shared" si="1"/>
        <v>7.3150000000000003E-3</v>
      </c>
      <c r="J45" s="9">
        <f t="shared" si="2"/>
        <v>2.2894800000000003E-5</v>
      </c>
      <c r="K45" s="5">
        <f t="shared" si="3"/>
        <v>319.5048657337037</v>
      </c>
      <c r="L45" s="61"/>
      <c r="M45" s="16">
        <f>L42/I45</f>
        <v>13670.539986329461</v>
      </c>
      <c r="N45" s="9">
        <f t="shared" si="5"/>
        <v>0.29259999999999997</v>
      </c>
      <c r="O45" s="5">
        <f t="shared" si="6"/>
        <v>1091.9510107098554</v>
      </c>
      <c r="Z45" s="1" t="e">
        <f t="shared" si="7"/>
        <v>#DIV/0!</v>
      </c>
    </row>
    <row r="46" spans="1:26" x14ac:dyDescent="0.3">
      <c r="A46" s="8">
        <v>2.5</v>
      </c>
      <c r="B46" s="8">
        <v>-3</v>
      </c>
      <c r="C46" s="30">
        <v>1.76746</v>
      </c>
      <c r="D46" s="30">
        <v>-2.2929200000000001</v>
      </c>
      <c r="E46" s="8">
        <f t="shared" si="4"/>
        <v>4.7674599999999998</v>
      </c>
      <c r="F46" s="8">
        <f t="shared" si="0"/>
        <v>0.70707999999999993</v>
      </c>
      <c r="G46" s="8">
        <v>100</v>
      </c>
      <c r="H46" s="9">
        <v>100000</v>
      </c>
      <c r="I46" s="9">
        <f t="shared" si="1"/>
        <v>7.3253999999999993E-3</v>
      </c>
      <c r="J46" s="9">
        <f t="shared" si="2"/>
        <v>2.2929200000000001E-5</v>
      </c>
      <c r="K46" s="5">
        <f t="shared" si="3"/>
        <v>319.47909216195939</v>
      </c>
      <c r="L46" s="61"/>
      <c r="M46" s="16">
        <f>L42/I46</f>
        <v>13651.131678816177</v>
      </c>
      <c r="N46" s="9">
        <f t="shared" si="5"/>
        <v>0.29301599999999994</v>
      </c>
      <c r="O46" s="5">
        <f t="shared" si="6"/>
        <v>1090.3127889328891</v>
      </c>
      <c r="Z46" s="1" t="e">
        <f t="shared" si="7"/>
        <v>#DIV/0!</v>
      </c>
    </row>
    <row r="47" spans="1:26" x14ac:dyDescent="0.3">
      <c r="A47" s="8">
        <v>3</v>
      </c>
      <c r="B47" s="8">
        <v>-3</v>
      </c>
      <c r="C47" s="30">
        <v>2.2643399999999998</v>
      </c>
      <c r="D47" s="30">
        <v>-2.28878</v>
      </c>
      <c r="E47" s="8">
        <f t="shared" si="4"/>
        <v>5.2643399999999998</v>
      </c>
      <c r="F47" s="8">
        <f t="shared" si="0"/>
        <v>0.71121999999999996</v>
      </c>
      <c r="G47" s="8">
        <v>100</v>
      </c>
      <c r="H47" s="9">
        <v>100000</v>
      </c>
      <c r="I47" s="9">
        <f t="shared" si="1"/>
        <v>7.3566000000000022E-3</v>
      </c>
      <c r="J47" s="9">
        <f t="shared" si="2"/>
        <v>2.2887800000000001E-5</v>
      </c>
      <c r="K47" s="5">
        <f t="shared" si="3"/>
        <v>321.42014523021004</v>
      </c>
      <c r="L47" s="61"/>
      <c r="M47" s="16">
        <f>L42/I47</f>
        <v>13593.236005763531</v>
      </c>
      <c r="N47" s="9">
        <f t="shared" si="5"/>
        <v>0.29426400000000008</v>
      </c>
      <c r="O47" s="5">
        <f t="shared" si="6"/>
        <v>1092.2849727802584</v>
      </c>
      <c r="Z47" s="1" t="e">
        <f t="shared" si="7"/>
        <v>#DIV/0!</v>
      </c>
    </row>
    <row r="48" spans="1:26" x14ac:dyDescent="0.3">
      <c r="A48" s="8">
        <v>3.5</v>
      </c>
      <c r="B48" s="8">
        <v>-3</v>
      </c>
      <c r="C48" s="30">
        <v>2.76092</v>
      </c>
      <c r="D48" s="30">
        <v>-2.2918399999999899</v>
      </c>
      <c r="E48" s="8">
        <f t="shared" si="4"/>
        <v>5.7609200000000005</v>
      </c>
      <c r="F48" s="8">
        <f t="shared" si="0"/>
        <v>0.70816000000001011</v>
      </c>
      <c r="G48" s="8">
        <v>100</v>
      </c>
      <c r="H48" s="9">
        <v>100000</v>
      </c>
      <c r="I48" s="9">
        <f t="shared" si="1"/>
        <v>7.3907999999999995E-3</v>
      </c>
      <c r="J48" s="9">
        <f t="shared" si="2"/>
        <v>2.2918399999999899E-5</v>
      </c>
      <c r="K48" s="5">
        <f t="shared" si="3"/>
        <v>322.48324490365957</v>
      </c>
      <c r="L48" s="61"/>
      <c r="M48" s="16">
        <f>L42/I48</f>
        <v>13530.335011094878</v>
      </c>
      <c r="N48" s="9">
        <f t="shared" si="5"/>
        <v>0.29563199999999995</v>
      </c>
      <c r="O48" s="5">
        <f t="shared" si="6"/>
        <v>1090.8265847528671</v>
      </c>
      <c r="Z48" s="1" t="e">
        <f t="shared" si="7"/>
        <v>#DIV/0!</v>
      </c>
    </row>
    <row r="49" spans="1:26" x14ac:dyDescent="0.3">
      <c r="A49" s="8">
        <v>4</v>
      </c>
      <c r="B49" s="8">
        <v>-3</v>
      </c>
      <c r="C49" s="30">
        <v>3.2585799999999998</v>
      </c>
      <c r="D49" s="30">
        <v>-2.2937599999999998</v>
      </c>
      <c r="E49" s="8">
        <f t="shared" si="4"/>
        <v>6.2585800000000003</v>
      </c>
      <c r="F49" s="8">
        <f t="shared" si="0"/>
        <v>0.7062400000000002</v>
      </c>
      <c r="G49" s="8">
        <v>100</v>
      </c>
      <c r="H49" s="9">
        <v>100000</v>
      </c>
      <c r="I49" s="9">
        <f t="shared" si="1"/>
        <v>7.4142000000000019E-3</v>
      </c>
      <c r="J49" s="9">
        <f t="shared" si="2"/>
        <v>2.2937599999999999E-5</v>
      </c>
      <c r="K49" s="5">
        <f t="shared" si="3"/>
        <v>323.23346819196439</v>
      </c>
      <c r="L49" s="61"/>
      <c r="M49" s="16">
        <f>L42/I49</f>
        <v>13487.631841601251</v>
      </c>
      <c r="N49" s="9">
        <f t="shared" si="5"/>
        <v>0.29656800000000005</v>
      </c>
      <c r="O49" s="5">
        <f t="shared" si="6"/>
        <v>1089.9135044642858</v>
      </c>
      <c r="Z49" s="1" t="e">
        <f t="shared" si="7"/>
        <v>#DIV/0!</v>
      </c>
    </row>
    <row r="50" spans="1:26" x14ac:dyDescent="0.3">
      <c r="A50" s="8">
        <v>4.5</v>
      </c>
      <c r="B50" s="8">
        <v>-3</v>
      </c>
      <c r="C50" s="30">
        <v>3.7565400000000002</v>
      </c>
      <c r="D50" s="30">
        <v>-2.2924600000000002</v>
      </c>
      <c r="E50" s="8">
        <f t="shared" si="4"/>
        <v>6.7565400000000002</v>
      </c>
      <c r="F50" s="8">
        <f t="shared" si="0"/>
        <v>0.70753999999999984</v>
      </c>
      <c r="G50" s="8">
        <v>100</v>
      </c>
      <c r="H50" s="9">
        <v>100000</v>
      </c>
      <c r="I50" s="9">
        <f t="shared" si="1"/>
        <v>7.4345999999999978E-3</v>
      </c>
      <c r="J50" s="9">
        <f t="shared" si="2"/>
        <v>2.2924600000000001E-5</v>
      </c>
      <c r="K50" s="5">
        <f t="shared" si="3"/>
        <v>324.30664002861545</v>
      </c>
      <c r="L50" s="61"/>
      <c r="M50" s="16">
        <f>L42/I50</f>
        <v>13450.622763833971</v>
      </c>
      <c r="N50" s="9">
        <f t="shared" si="5"/>
        <v>0.29738399999999987</v>
      </c>
      <c r="O50" s="5">
        <f t="shared" si="6"/>
        <v>1090.531568707851</v>
      </c>
      <c r="Z50" s="1" t="e">
        <f t="shared" si="7"/>
        <v>#DIV/0!</v>
      </c>
    </row>
    <row r="51" spans="1:26" x14ac:dyDescent="0.3">
      <c r="A51" s="8">
        <v>5</v>
      </c>
      <c r="B51" s="8">
        <v>-3</v>
      </c>
      <c r="C51" s="30">
        <v>4.2522599999999997</v>
      </c>
      <c r="D51" s="30">
        <v>-2.2943600000000002</v>
      </c>
      <c r="E51" s="8">
        <f t="shared" si="4"/>
        <v>7.2522599999999997</v>
      </c>
      <c r="F51" s="8">
        <f t="shared" si="0"/>
        <v>0.70563999999999982</v>
      </c>
      <c r="G51" s="8">
        <v>100</v>
      </c>
      <c r="H51" s="9">
        <v>100000</v>
      </c>
      <c r="I51" s="9">
        <f t="shared" si="1"/>
        <v>7.477400000000003E-3</v>
      </c>
      <c r="J51" s="9">
        <f t="shared" si="2"/>
        <v>2.2943600000000002E-5</v>
      </c>
      <c r="K51" s="5">
        <f t="shared" si="3"/>
        <v>325.90351993584278</v>
      </c>
      <c r="L51" s="61"/>
      <c r="M51" s="16">
        <f>L42/I51</f>
        <v>13373.63254607216</v>
      </c>
      <c r="N51" s="9">
        <f t="shared" si="5"/>
        <v>0.29909600000000008</v>
      </c>
      <c r="O51" s="5">
        <f t="shared" si="6"/>
        <v>1089.628480273366</v>
      </c>
      <c r="Z51" s="1" t="e">
        <f t="shared" si="7"/>
        <v>#DIV/0!</v>
      </c>
    </row>
    <row r="52" spans="1:26" x14ac:dyDescent="0.3">
      <c r="A52" s="21">
        <v>0.5</v>
      </c>
      <c r="B52" s="21">
        <v>-2.5</v>
      </c>
      <c r="C52" s="31">
        <v>1.78599999999999E-2</v>
      </c>
      <c r="D52" s="31">
        <v>-1.8071600000000001</v>
      </c>
      <c r="E52" s="21">
        <f t="shared" si="4"/>
        <v>2.5178599999999998</v>
      </c>
      <c r="F52" s="21">
        <f t="shared" si="0"/>
        <v>0.6928399999999999</v>
      </c>
      <c r="G52" s="21">
        <v>100</v>
      </c>
      <c r="H52" s="22">
        <v>100000</v>
      </c>
      <c r="I52" s="22">
        <f t="shared" si="1"/>
        <v>4.8214000000000009E-3</v>
      </c>
      <c r="J52" s="22">
        <f t="shared" si="2"/>
        <v>1.8071600000000002E-5</v>
      </c>
      <c r="K52" s="23">
        <f t="shared" si="3"/>
        <v>266.79430708957705</v>
      </c>
      <c r="L52" s="56">
        <f>Z53</f>
        <v>48.999999999999993</v>
      </c>
      <c r="M52" s="24">
        <f>L52/I52</f>
        <v>10163.023188285557</v>
      </c>
      <c r="N52" s="22">
        <f t="shared" si="5"/>
        <v>0.19285600000000003</v>
      </c>
      <c r="O52" s="23">
        <f t="shared" si="6"/>
        <v>1383.3860864560968</v>
      </c>
      <c r="Z52" s="1" t="e">
        <f t="shared" si="7"/>
        <v>#DIV/0!</v>
      </c>
    </row>
    <row r="53" spans="1:26" x14ac:dyDescent="0.3">
      <c r="A53" s="21">
        <v>1</v>
      </c>
      <c r="B53" s="21">
        <v>-2.5</v>
      </c>
      <c r="C53" s="31">
        <v>0.44538</v>
      </c>
      <c r="D53" s="31">
        <v>-1.7949200000000001</v>
      </c>
      <c r="E53" s="21">
        <f t="shared" si="4"/>
        <v>2.9453800000000001</v>
      </c>
      <c r="F53" s="21">
        <f t="shared" si="0"/>
        <v>0.70507999999999993</v>
      </c>
      <c r="G53" s="21">
        <v>100</v>
      </c>
      <c r="H53" s="22">
        <v>100000</v>
      </c>
      <c r="I53" s="22">
        <f t="shared" si="1"/>
        <v>5.5462000000000003E-3</v>
      </c>
      <c r="J53" s="22">
        <f t="shared" si="2"/>
        <v>1.7949200000000001E-5</v>
      </c>
      <c r="K53" s="23">
        <f t="shared" si="3"/>
        <v>308.99427272524679</v>
      </c>
      <c r="L53" s="59"/>
      <c r="M53" s="24">
        <f>L52/I53</f>
        <v>8834.877934441598</v>
      </c>
      <c r="N53" s="22">
        <f t="shared" si="5"/>
        <v>0.22184799999999999</v>
      </c>
      <c r="O53" s="23">
        <f t="shared" si="6"/>
        <v>1392.819735698527</v>
      </c>
      <c r="X53" s="37">
        <v>1E-4</v>
      </c>
      <c r="Y53" s="37">
        <f>0.0049</f>
        <v>4.8999999999999998E-3</v>
      </c>
      <c r="Z53" s="37">
        <f t="shared" si="7"/>
        <v>48.999999999999993</v>
      </c>
    </row>
    <row r="54" spans="1:26" x14ac:dyDescent="0.3">
      <c r="A54" s="21">
        <v>1.5</v>
      </c>
      <c r="B54" s="21">
        <v>-2.5</v>
      </c>
      <c r="C54" s="31">
        <v>0.94728000000000001</v>
      </c>
      <c r="D54" s="31">
        <v>-1.80026</v>
      </c>
      <c r="E54" s="21">
        <f t="shared" si="4"/>
        <v>3.4472800000000001</v>
      </c>
      <c r="F54" s="21">
        <f t="shared" si="0"/>
        <v>0.69974000000000003</v>
      </c>
      <c r="G54" s="21">
        <v>100</v>
      </c>
      <c r="H54" s="22">
        <v>100000</v>
      </c>
      <c r="I54" s="22">
        <f t="shared" si="1"/>
        <v>5.5271999999999995E-3</v>
      </c>
      <c r="J54" s="22">
        <f t="shared" si="2"/>
        <v>1.8002599999999999E-5</v>
      </c>
      <c r="K54" s="23">
        <f t="shared" si="3"/>
        <v>307.02231899836687</v>
      </c>
      <c r="L54" s="59"/>
      <c r="M54" s="24">
        <f>L52/I54</f>
        <v>8865.2482269503544</v>
      </c>
      <c r="N54" s="22">
        <f t="shared" si="5"/>
        <v>0.22108799999999998</v>
      </c>
      <c r="O54" s="23">
        <f t="shared" si="6"/>
        <v>1388.6883005788054</v>
      </c>
      <c r="Z54" s="1" t="e">
        <f t="shared" si="7"/>
        <v>#DIV/0!</v>
      </c>
    </row>
    <row r="55" spans="1:26" x14ac:dyDescent="0.3">
      <c r="A55" s="21">
        <v>2</v>
      </c>
      <c r="B55" s="21">
        <v>-2.5</v>
      </c>
      <c r="C55" s="31">
        <v>1.4436199999999999</v>
      </c>
      <c r="D55" s="31">
        <v>-1.80206</v>
      </c>
      <c r="E55" s="21">
        <f t="shared" si="4"/>
        <v>3.9436200000000001</v>
      </c>
      <c r="F55" s="21">
        <f t="shared" si="0"/>
        <v>0.69794</v>
      </c>
      <c r="G55" s="21">
        <v>100</v>
      </c>
      <c r="H55" s="22">
        <v>100000</v>
      </c>
      <c r="I55" s="22">
        <f t="shared" si="1"/>
        <v>5.5638000000000007E-3</v>
      </c>
      <c r="J55" s="22">
        <f t="shared" si="2"/>
        <v>1.8020600000000002E-5</v>
      </c>
      <c r="K55" s="23">
        <f t="shared" si="3"/>
        <v>308.74665660410864</v>
      </c>
      <c r="L55" s="59"/>
      <c r="M55" s="24">
        <f>L52/I55</f>
        <v>8806.9305151155659</v>
      </c>
      <c r="N55" s="22">
        <f t="shared" si="5"/>
        <v>0.22255200000000003</v>
      </c>
      <c r="O55" s="23">
        <f t="shared" si="6"/>
        <v>1387.3011997380775</v>
      </c>
      <c r="Z55" s="1" t="e">
        <f t="shared" si="7"/>
        <v>#DIV/0!</v>
      </c>
    </row>
    <row r="56" spans="1:26" x14ac:dyDescent="0.3">
      <c r="A56" s="21">
        <v>2.5</v>
      </c>
      <c r="B56" s="21">
        <v>-2.5</v>
      </c>
      <c r="C56" s="31">
        <v>1.9410000000000001</v>
      </c>
      <c r="D56" s="31">
        <v>-1.7987599999999999</v>
      </c>
      <c r="E56" s="21">
        <f t="shared" si="4"/>
        <v>4.4409999999999998</v>
      </c>
      <c r="F56" s="21">
        <f t="shared" si="0"/>
        <v>0.70124000000000009</v>
      </c>
      <c r="G56" s="21">
        <v>100</v>
      </c>
      <c r="H56" s="22">
        <v>100000</v>
      </c>
      <c r="I56" s="22">
        <f t="shared" si="1"/>
        <v>5.5899999999999995E-3</v>
      </c>
      <c r="J56" s="22">
        <f t="shared" si="2"/>
        <v>1.79876E-5</v>
      </c>
      <c r="K56" s="23">
        <f t="shared" si="3"/>
        <v>310.76964130845693</v>
      </c>
      <c r="L56" s="59"/>
      <c r="M56" s="24">
        <f>L52/I56</f>
        <v>8765.6529516994633</v>
      </c>
      <c r="N56" s="22">
        <f t="shared" si="5"/>
        <v>0.22359999999999997</v>
      </c>
      <c r="O56" s="23">
        <f t="shared" si="6"/>
        <v>1389.8463385888056</v>
      </c>
      <c r="Z56" s="1" t="e">
        <f t="shared" si="7"/>
        <v>#DIV/0!</v>
      </c>
    </row>
    <row r="57" spans="1:26" x14ac:dyDescent="0.3">
      <c r="A57" s="21">
        <v>3</v>
      </c>
      <c r="B57" s="21">
        <v>-2.5</v>
      </c>
      <c r="C57" s="31">
        <v>2.4396200000000001</v>
      </c>
      <c r="D57" s="31">
        <v>-1.80088</v>
      </c>
      <c r="E57" s="21">
        <f t="shared" si="4"/>
        <v>4.9396199999999997</v>
      </c>
      <c r="F57" s="21">
        <f t="shared" si="0"/>
        <v>0.69911999999999996</v>
      </c>
      <c r="G57" s="21">
        <v>100</v>
      </c>
      <c r="H57" s="22">
        <v>100000</v>
      </c>
      <c r="I57" s="22">
        <f t="shared" si="1"/>
        <v>5.6037999999999991E-3</v>
      </c>
      <c r="J57" s="22">
        <f t="shared" si="2"/>
        <v>1.8008799999999999E-5</v>
      </c>
      <c r="K57" s="23">
        <f t="shared" si="3"/>
        <v>311.17009462040778</v>
      </c>
      <c r="L57" s="59"/>
      <c r="M57" s="24">
        <f>L52/I57</f>
        <v>8744.0665262857347</v>
      </c>
      <c r="N57" s="22">
        <f t="shared" si="5"/>
        <v>0.22415199999999996</v>
      </c>
      <c r="O57" s="23">
        <f t="shared" si="6"/>
        <v>1388.2102083425882</v>
      </c>
      <c r="Z57" s="1" t="e">
        <f t="shared" si="7"/>
        <v>#DIV/0!</v>
      </c>
    </row>
    <row r="58" spans="1:26" x14ac:dyDescent="0.3">
      <c r="A58" s="21">
        <v>3.5</v>
      </c>
      <c r="B58" s="21">
        <v>-2.5</v>
      </c>
      <c r="C58" s="31">
        <v>2.9359600000000001</v>
      </c>
      <c r="D58" s="31">
        <v>-1.80148</v>
      </c>
      <c r="E58" s="21">
        <f t="shared" si="4"/>
        <v>5.4359599999999997</v>
      </c>
      <c r="F58" s="21">
        <f t="shared" si="0"/>
        <v>0.69852000000000003</v>
      </c>
      <c r="G58" s="21">
        <v>100</v>
      </c>
      <c r="H58" s="22">
        <v>100000</v>
      </c>
      <c r="I58" s="22">
        <f t="shared" si="1"/>
        <v>5.6403999999999985E-3</v>
      </c>
      <c r="J58" s="22">
        <f t="shared" si="2"/>
        <v>1.8014799999999999E-5</v>
      </c>
      <c r="K58" s="23">
        <f t="shared" si="3"/>
        <v>313.09811932411122</v>
      </c>
      <c r="L58" s="59"/>
      <c r="M58" s="24">
        <f>L52/I58</f>
        <v>8687.3271399191563</v>
      </c>
      <c r="N58" s="22">
        <f t="shared" si="5"/>
        <v>0.22561599999999993</v>
      </c>
      <c r="O58" s="23">
        <f t="shared" si="6"/>
        <v>1387.7478517663255</v>
      </c>
      <c r="Z58" s="1" t="e">
        <f t="shared" si="7"/>
        <v>#DIV/0!</v>
      </c>
    </row>
    <row r="59" spans="1:26" x14ac:dyDescent="0.3">
      <c r="A59" s="21">
        <v>4</v>
      </c>
      <c r="B59" s="21">
        <v>-2.5</v>
      </c>
      <c r="C59" s="31">
        <v>3.4319000000000002</v>
      </c>
      <c r="D59" s="31">
        <v>-1.80322</v>
      </c>
      <c r="E59" s="21">
        <f t="shared" si="4"/>
        <v>5.9319000000000006</v>
      </c>
      <c r="F59" s="21">
        <f t="shared" si="0"/>
        <v>0.69677999999999995</v>
      </c>
      <c r="G59" s="21">
        <v>100</v>
      </c>
      <c r="H59" s="22">
        <v>100000</v>
      </c>
      <c r="I59" s="22">
        <f t="shared" si="1"/>
        <v>5.6809999999999986E-3</v>
      </c>
      <c r="J59" s="22">
        <f t="shared" si="2"/>
        <v>1.80322E-5</v>
      </c>
      <c r="K59" s="23">
        <f t="shared" si="3"/>
        <v>315.04752609221276</v>
      </c>
      <c r="L59" s="59"/>
      <c r="M59" s="24">
        <f>L52/I59</f>
        <v>8625.2420348530195</v>
      </c>
      <c r="N59" s="22">
        <f t="shared" si="5"/>
        <v>0.22723999999999994</v>
      </c>
      <c r="O59" s="23">
        <f t="shared" si="6"/>
        <v>1386.4087576668405</v>
      </c>
      <c r="Z59" s="1" t="e">
        <f t="shared" si="7"/>
        <v>#DIV/0!</v>
      </c>
    </row>
    <row r="60" spans="1:26" x14ac:dyDescent="0.3">
      <c r="A60" s="21">
        <v>4.5</v>
      </c>
      <c r="B60" s="21">
        <v>-2.5</v>
      </c>
      <c r="C60" s="31">
        <v>3.9253399999999998</v>
      </c>
      <c r="D60" s="31">
        <v>-1.7974600000000001</v>
      </c>
      <c r="E60" s="21">
        <f t="shared" si="4"/>
        <v>6.4253400000000003</v>
      </c>
      <c r="F60" s="21">
        <f t="shared" si="0"/>
        <v>0.70253999999999994</v>
      </c>
      <c r="G60" s="21">
        <v>100</v>
      </c>
      <c r="H60" s="22">
        <v>100000</v>
      </c>
      <c r="I60" s="22">
        <f t="shared" si="1"/>
        <v>5.7466000000000019E-3</v>
      </c>
      <c r="J60" s="22">
        <f t="shared" si="2"/>
        <v>1.7974599999999999E-5</v>
      </c>
      <c r="K60" s="23">
        <f t="shared" si="3"/>
        <v>319.70669722831116</v>
      </c>
      <c r="L60" s="59"/>
      <c r="M60" s="24">
        <f>L52/I60</f>
        <v>8526.7810531444647</v>
      </c>
      <c r="N60" s="22">
        <f t="shared" si="5"/>
        <v>0.22986400000000007</v>
      </c>
      <c r="O60" s="23">
        <f t="shared" si="6"/>
        <v>1390.8515349437541</v>
      </c>
      <c r="Z60" s="1" t="e">
        <f t="shared" si="7"/>
        <v>#DIV/0!</v>
      </c>
    </row>
    <row r="61" spans="1:26" x14ac:dyDescent="0.3">
      <c r="A61" s="21">
        <v>5</v>
      </c>
      <c r="B61" s="21">
        <v>-2.5</v>
      </c>
      <c r="C61" s="31">
        <v>4.4250600000000002</v>
      </c>
      <c r="D61" s="31">
        <v>-1.8011600000000001</v>
      </c>
      <c r="E61" s="21">
        <f t="shared" si="4"/>
        <v>6.9250600000000002</v>
      </c>
      <c r="F61" s="21">
        <f t="shared" si="0"/>
        <v>0.69883999999999991</v>
      </c>
      <c r="G61" s="21">
        <v>100</v>
      </c>
      <c r="H61" s="22">
        <v>100000</v>
      </c>
      <c r="I61" s="22">
        <f t="shared" si="1"/>
        <v>5.7493999999999983E-3</v>
      </c>
      <c r="J61" s="22">
        <f t="shared" si="2"/>
        <v>1.8011600000000002E-5</v>
      </c>
      <c r="K61" s="23">
        <f t="shared" si="3"/>
        <v>319.20540096382319</v>
      </c>
      <c r="L61" s="59"/>
      <c r="M61" s="24">
        <f>L52/I61</f>
        <v>8522.6284481858984</v>
      </c>
      <c r="N61" s="22">
        <f t="shared" si="5"/>
        <v>0.22997599999999993</v>
      </c>
      <c r="O61" s="23">
        <f t="shared" si="6"/>
        <v>1387.9944036065647</v>
      </c>
      <c r="Z61" s="1" t="e">
        <f t="shared" si="7"/>
        <v>#DIV/0!</v>
      </c>
    </row>
    <row r="62" spans="1:26" x14ac:dyDescent="0.3">
      <c r="A62" s="10">
        <v>0.5</v>
      </c>
      <c r="B62" s="10">
        <v>-2</v>
      </c>
      <c r="C62" s="32">
        <v>0.11352</v>
      </c>
      <c r="D62" s="32">
        <v>-1.3076000000000001</v>
      </c>
      <c r="E62" s="10"/>
      <c r="F62" s="10">
        <f t="shared" si="0"/>
        <v>0.6923999999999999</v>
      </c>
      <c r="G62" s="10">
        <v>100</v>
      </c>
      <c r="H62" s="11">
        <v>100000</v>
      </c>
      <c r="I62" s="11">
        <f t="shared" si="1"/>
        <v>3.8647999999999998E-3</v>
      </c>
      <c r="J62" s="11">
        <f t="shared" si="2"/>
        <v>1.3076000000000002E-5</v>
      </c>
      <c r="K62" s="6">
        <f t="shared" si="3"/>
        <v>295.56439278066682</v>
      </c>
      <c r="L62" s="52">
        <f>Z63</f>
        <v>61.666666666666664</v>
      </c>
      <c r="M62" s="17">
        <f>L62/I62</f>
        <v>15955.978748361278</v>
      </c>
      <c r="N62" s="11">
        <f t="shared" si="5"/>
        <v>0.15459199999999998</v>
      </c>
      <c r="O62" s="6">
        <f t="shared" si="6"/>
        <v>1911.8996635056592</v>
      </c>
      <c r="Z62" s="1" t="e">
        <f t="shared" si="7"/>
        <v>#DIV/0!</v>
      </c>
    </row>
    <row r="63" spans="1:26" x14ac:dyDescent="0.3">
      <c r="A63" s="10">
        <v>1</v>
      </c>
      <c r="B63" s="10">
        <v>-2</v>
      </c>
      <c r="C63" s="32">
        <v>0.61151999999999995</v>
      </c>
      <c r="D63" s="32">
        <v>-1.3085799999999901</v>
      </c>
      <c r="E63" s="10">
        <f t="shared" si="4"/>
        <v>2.6115200000000001</v>
      </c>
      <c r="F63" s="10">
        <f t="shared" si="0"/>
        <v>0.69142000000000992</v>
      </c>
      <c r="G63" s="10">
        <v>100</v>
      </c>
      <c r="H63" s="11">
        <v>100000</v>
      </c>
      <c r="I63" s="11">
        <f t="shared" si="1"/>
        <v>3.8848000000000003E-3</v>
      </c>
      <c r="J63" s="11">
        <f t="shared" si="2"/>
        <v>1.3085799999999901E-5</v>
      </c>
      <c r="K63" s="6">
        <f t="shared" si="3"/>
        <v>296.87141787281098</v>
      </c>
      <c r="L63" s="57"/>
      <c r="M63" s="17">
        <f>L62/I63</f>
        <v>15873.833058758923</v>
      </c>
      <c r="N63" s="11">
        <f t="shared" si="5"/>
        <v>0.155392</v>
      </c>
      <c r="O63" s="6">
        <f t="shared" si="6"/>
        <v>1910.4678353635384</v>
      </c>
      <c r="X63" s="38">
        <v>6.0000000000000002E-5</v>
      </c>
      <c r="Y63" s="37">
        <f>0.0037</f>
        <v>3.7000000000000002E-3</v>
      </c>
      <c r="Z63" s="37">
        <f t="shared" si="7"/>
        <v>61.666666666666664</v>
      </c>
    </row>
    <row r="64" spans="1:26" x14ac:dyDescent="0.3">
      <c r="A64" s="10">
        <v>1.5</v>
      </c>
      <c r="B64" s="10">
        <v>-2</v>
      </c>
      <c r="C64" s="32">
        <v>1.1068799999999901</v>
      </c>
      <c r="D64" s="32">
        <v>-1.3079799999999999</v>
      </c>
      <c r="E64" s="10">
        <f t="shared" si="4"/>
        <v>3.1068799999999901</v>
      </c>
      <c r="F64" s="10">
        <f t="shared" si="0"/>
        <v>0.69202000000000008</v>
      </c>
      <c r="G64" s="10">
        <v>100</v>
      </c>
      <c r="H64" s="11">
        <v>100000</v>
      </c>
      <c r="I64" s="11">
        <f t="shared" si="1"/>
        <v>3.931200000000099E-3</v>
      </c>
      <c r="J64" s="11">
        <f t="shared" si="2"/>
        <v>1.30798E-5</v>
      </c>
      <c r="K64" s="6">
        <f t="shared" si="3"/>
        <v>300.55505435863694</v>
      </c>
      <c r="L64" s="57"/>
      <c r="M64" s="17">
        <f>L62/I64</f>
        <v>15686.474019806958</v>
      </c>
      <c r="N64" s="11">
        <f t="shared" si="5"/>
        <v>0.15724800000000394</v>
      </c>
      <c r="O64" s="6">
        <f t="shared" si="6"/>
        <v>1911.3442101561188</v>
      </c>
      <c r="Z64" s="1" t="e">
        <f t="shared" si="7"/>
        <v>#DIV/0!</v>
      </c>
    </row>
    <row r="65" spans="1:26" x14ac:dyDescent="0.3">
      <c r="A65" s="10">
        <v>2</v>
      </c>
      <c r="B65" s="10">
        <v>-2</v>
      </c>
      <c r="C65" s="32">
        <v>1.6054200000000001</v>
      </c>
      <c r="D65" s="32">
        <v>-1.3100400000000001</v>
      </c>
      <c r="E65" s="10">
        <f t="shared" si="4"/>
        <v>3.6054200000000001</v>
      </c>
      <c r="F65" s="10">
        <f t="shared" si="0"/>
        <v>0.68995999999999991</v>
      </c>
      <c r="G65" s="10">
        <v>100</v>
      </c>
      <c r="H65" s="11">
        <v>100000</v>
      </c>
      <c r="I65" s="11">
        <f t="shared" si="1"/>
        <v>3.9457999999999993E-3</v>
      </c>
      <c r="J65" s="11">
        <f t="shared" si="2"/>
        <v>1.3100400000000001E-5</v>
      </c>
      <c r="K65" s="6">
        <f t="shared" si="3"/>
        <v>301.19691001801465</v>
      </c>
      <c r="L65" s="57"/>
      <c r="M65" s="17">
        <f>L62/I65</f>
        <v>15628.431919171442</v>
      </c>
      <c r="N65" s="11">
        <f t="shared" si="5"/>
        <v>0.15783199999999997</v>
      </c>
      <c r="O65" s="6">
        <f t="shared" si="6"/>
        <v>1908.3386766816279</v>
      </c>
      <c r="Z65" s="1" t="e">
        <f t="shared" si="7"/>
        <v>#DIV/0!</v>
      </c>
    </row>
    <row r="66" spans="1:26" x14ac:dyDescent="0.3">
      <c r="A66" s="10">
        <v>2.5</v>
      </c>
      <c r="B66" s="10">
        <v>-2</v>
      </c>
      <c r="C66" s="32">
        <v>2.10406</v>
      </c>
      <c r="D66" s="32">
        <v>-1.30894</v>
      </c>
      <c r="E66" s="10">
        <f t="shared" si="4"/>
        <v>4.1040600000000005</v>
      </c>
      <c r="F66" s="10">
        <f t="shared" ref="F66:F91" si="8">D66-B66</f>
        <v>0.69106000000000001</v>
      </c>
      <c r="G66" s="10">
        <v>100</v>
      </c>
      <c r="H66" s="11">
        <v>100000</v>
      </c>
      <c r="I66" s="11">
        <f t="shared" ref="I66:I91" si="9">(A66-C66)/G66</f>
        <v>3.9593999999999992E-3</v>
      </c>
      <c r="J66" s="11">
        <f t="shared" ref="J66:J91" si="10">(0-D66)/H66</f>
        <v>1.30894E-5</v>
      </c>
      <c r="K66" s="6">
        <f t="shared" ref="K66:K91" si="11">I66/J66</f>
        <v>302.48903693064608</v>
      </c>
      <c r="L66" s="57"/>
      <c r="M66" s="17">
        <f>L62/I66</f>
        <v>15574.750383054674</v>
      </c>
      <c r="N66" s="11">
        <f t="shared" si="5"/>
        <v>0.15837599999999996</v>
      </c>
      <c r="O66" s="6">
        <f t="shared" si="6"/>
        <v>1909.9423961373325</v>
      </c>
      <c r="Z66" s="1" t="e">
        <f t="shared" si="7"/>
        <v>#DIV/0!</v>
      </c>
    </row>
    <row r="67" spans="1:26" x14ac:dyDescent="0.3">
      <c r="A67" s="10">
        <v>3</v>
      </c>
      <c r="B67" s="10">
        <v>-2</v>
      </c>
      <c r="C67" s="32">
        <v>2.6022400000000001</v>
      </c>
      <c r="D67" s="32">
        <v>-1.31046</v>
      </c>
      <c r="E67" s="10">
        <f t="shared" ref="E67:E91" si="12">C67-B67</f>
        <v>4.6022400000000001</v>
      </c>
      <c r="F67" s="10">
        <f t="shared" si="8"/>
        <v>0.68954000000000004</v>
      </c>
      <c r="G67" s="10">
        <v>100</v>
      </c>
      <c r="H67" s="11">
        <v>100000</v>
      </c>
      <c r="I67" s="11">
        <f t="shared" si="9"/>
        <v>3.9775999999999987E-3</v>
      </c>
      <c r="J67" s="11">
        <f t="shared" si="10"/>
        <v>1.31046E-5</v>
      </c>
      <c r="K67" s="6">
        <f t="shared" si="11"/>
        <v>303.52700578422832</v>
      </c>
      <c r="L67" s="57"/>
      <c r="M67" s="17">
        <f>L62/I67</f>
        <v>15503.486189326903</v>
      </c>
      <c r="N67" s="11">
        <f t="shared" ref="N67:N91" si="13">I67/0.025</f>
        <v>0.15910399999999994</v>
      </c>
      <c r="O67" s="6">
        <f t="shared" ref="O67:O91" si="14">0.025/J67</f>
        <v>1907.7270576744045</v>
      </c>
      <c r="Z67" s="1" t="e">
        <f t="shared" si="7"/>
        <v>#DIV/0!</v>
      </c>
    </row>
    <row r="68" spans="1:26" x14ac:dyDescent="0.3">
      <c r="A68" s="10">
        <v>3.5</v>
      </c>
      <c r="B68" s="10">
        <v>-2</v>
      </c>
      <c r="C68" s="32">
        <v>3.0999400000000001</v>
      </c>
      <c r="D68" s="32">
        <v>-1.3107800000000001</v>
      </c>
      <c r="E68" s="10">
        <f t="shared" si="12"/>
        <v>5.0999400000000001</v>
      </c>
      <c r="F68" s="10">
        <f t="shared" si="8"/>
        <v>0.68921999999999994</v>
      </c>
      <c r="G68" s="10">
        <v>100</v>
      </c>
      <c r="H68" s="11">
        <v>100000</v>
      </c>
      <c r="I68" s="11">
        <f t="shared" si="9"/>
        <v>4.0005999999999983E-3</v>
      </c>
      <c r="J68" s="11">
        <f t="shared" si="10"/>
        <v>1.31078E-5</v>
      </c>
      <c r="K68" s="6">
        <f t="shared" si="11"/>
        <v>305.20758632264744</v>
      </c>
      <c r="L68" s="57"/>
      <c r="M68" s="17">
        <f>L62/I68</f>
        <v>15414.354513489649</v>
      </c>
      <c r="N68" s="11">
        <f t="shared" si="13"/>
        <v>0.16002399999999992</v>
      </c>
      <c r="O68" s="6">
        <f t="shared" si="14"/>
        <v>1907.2613253177499</v>
      </c>
      <c r="Z68" s="1" t="e">
        <f t="shared" si="7"/>
        <v>#DIV/0!</v>
      </c>
    </row>
    <row r="69" spans="1:26" x14ac:dyDescent="0.3">
      <c r="A69" s="10">
        <v>4</v>
      </c>
      <c r="B69" s="10">
        <v>-2</v>
      </c>
      <c r="C69" s="32">
        <v>3.5944799999999999</v>
      </c>
      <c r="D69" s="32">
        <v>-1.3122199999999999</v>
      </c>
      <c r="E69" s="10">
        <f t="shared" si="12"/>
        <v>5.5944799999999999</v>
      </c>
      <c r="F69" s="10">
        <f t="shared" si="8"/>
        <v>0.68778000000000006</v>
      </c>
      <c r="G69" s="10">
        <v>100</v>
      </c>
      <c r="H69" s="11">
        <v>100000</v>
      </c>
      <c r="I69" s="11">
        <f t="shared" si="9"/>
        <v>4.055200000000001E-3</v>
      </c>
      <c r="J69" s="11">
        <f t="shared" si="10"/>
        <v>1.3122199999999999E-5</v>
      </c>
      <c r="K69" s="6">
        <f t="shared" si="11"/>
        <v>309.03354620414268</v>
      </c>
      <c r="L69" s="57"/>
      <c r="M69" s="17">
        <f>L62/I69</f>
        <v>15206.812652068122</v>
      </c>
      <c r="N69" s="11">
        <f t="shared" si="13"/>
        <v>0.16220800000000002</v>
      </c>
      <c r="O69" s="6">
        <f t="shared" si="14"/>
        <v>1905.1683406745822</v>
      </c>
      <c r="Z69" s="1" t="e">
        <f t="shared" si="7"/>
        <v>#DIV/0!</v>
      </c>
    </row>
    <row r="70" spans="1:26" x14ac:dyDescent="0.3">
      <c r="A70" s="10">
        <v>4.5</v>
      </c>
      <c r="B70" s="10">
        <v>-2</v>
      </c>
      <c r="C70" s="32">
        <v>4.0906599999999997</v>
      </c>
      <c r="D70" s="32">
        <v>-1.3081199999999999</v>
      </c>
      <c r="E70" s="10">
        <f t="shared" si="12"/>
        <v>6.0906599999999997</v>
      </c>
      <c r="F70" s="10">
        <f t="shared" si="8"/>
        <v>0.69188000000000005</v>
      </c>
      <c r="G70" s="10">
        <v>100</v>
      </c>
      <c r="H70" s="11">
        <v>100000</v>
      </c>
      <c r="I70" s="11">
        <f t="shared" si="9"/>
        <v>4.0934000000000022E-3</v>
      </c>
      <c r="J70" s="11">
        <f t="shared" si="10"/>
        <v>1.3081199999999999E-5</v>
      </c>
      <c r="K70" s="6">
        <f t="shared" si="11"/>
        <v>312.92236186282622</v>
      </c>
      <c r="L70" s="57"/>
      <c r="M70" s="17">
        <f>L62/I70</f>
        <v>15064.901223107106</v>
      </c>
      <c r="N70" s="11">
        <f t="shared" si="13"/>
        <v>0.16373600000000008</v>
      </c>
      <c r="O70" s="6">
        <f t="shared" si="14"/>
        <v>1911.1396507965633</v>
      </c>
      <c r="Z70" s="1" t="e">
        <f t="shared" si="7"/>
        <v>#DIV/0!</v>
      </c>
    </row>
    <row r="71" spans="1:26" x14ac:dyDescent="0.3">
      <c r="A71" s="10">
        <v>5</v>
      </c>
      <c r="B71" s="10">
        <v>-2</v>
      </c>
      <c r="C71" s="32">
        <v>4.5881999999999996</v>
      </c>
      <c r="D71" s="32">
        <v>-1.3102199999999999</v>
      </c>
      <c r="E71" s="10">
        <f t="shared" si="12"/>
        <v>6.5881999999999996</v>
      </c>
      <c r="F71" s="10">
        <f t="shared" si="8"/>
        <v>0.68978000000000006</v>
      </c>
      <c r="G71" s="10">
        <v>100</v>
      </c>
      <c r="H71" s="11">
        <v>100000</v>
      </c>
      <c r="I71" s="11">
        <f t="shared" si="9"/>
        <v>4.1180000000000036E-3</v>
      </c>
      <c r="J71" s="11">
        <f t="shared" si="10"/>
        <v>1.31022E-5</v>
      </c>
      <c r="K71" s="6">
        <f t="shared" si="11"/>
        <v>314.29836210712733</v>
      </c>
      <c r="L71" s="57"/>
      <c r="M71" s="17">
        <f>L62/I71</f>
        <v>14974.906912740798</v>
      </c>
      <c r="N71" s="11">
        <f t="shared" si="13"/>
        <v>0.16472000000000014</v>
      </c>
      <c r="O71" s="6">
        <f t="shared" si="14"/>
        <v>1908.0765062355943</v>
      </c>
      <c r="Z71" s="1" t="e">
        <f t="shared" ref="Z71:Z91" si="15">ABS(-Y71/X71)</f>
        <v>#DIV/0!</v>
      </c>
    </row>
    <row r="72" spans="1:26" x14ac:dyDescent="0.3">
      <c r="A72" s="12">
        <v>0.5</v>
      </c>
      <c r="B72" s="12">
        <v>-1.5</v>
      </c>
      <c r="C72" s="33">
        <v>0.29208000000000001</v>
      </c>
      <c r="D72" s="33">
        <v>-0.81831999999999905</v>
      </c>
      <c r="E72" s="12"/>
      <c r="F72" s="12">
        <f t="shared" si="8"/>
        <v>0.68168000000000095</v>
      </c>
      <c r="G72" s="12">
        <v>100</v>
      </c>
      <c r="H72" s="13">
        <v>100000</v>
      </c>
      <c r="I72" s="13">
        <f t="shared" si="9"/>
        <v>2.0791999999999998E-3</v>
      </c>
      <c r="J72" s="13">
        <f t="shared" si="10"/>
        <v>8.1831999999999897E-6</v>
      </c>
      <c r="K72" s="7">
        <f t="shared" si="11"/>
        <v>254.08153289666663</v>
      </c>
      <c r="L72" s="54">
        <f>Z73</f>
        <v>55</v>
      </c>
      <c r="M72" s="18">
        <f>L72/I72</f>
        <v>26452.481723739904</v>
      </c>
      <c r="N72" s="13">
        <f t="shared" si="13"/>
        <v>8.3167999999999992E-2</v>
      </c>
      <c r="O72" s="7">
        <f t="shared" si="14"/>
        <v>3055.0395933131335</v>
      </c>
      <c r="Z72" s="1" t="e">
        <f t="shared" si="15"/>
        <v>#DIV/0!</v>
      </c>
    </row>
    <row r="73" spans="1:26" x14ac:dyDescent="0.3">
      <c r="A73" s="62">
        <v>1</v>
      </c>
      <c r="B73" s="62">
        <v>-1.5</v>
      </c>
      <c r="C73" s="63">
        <v>0.76768000000000003</v>
      </c>
      <c r="D73" s="63">
        <v>-0.82145999999999897</v>
      </c>
      <c r="E73" s="62">
        <f t="shared" si="12"/>
        <v>2.2676799999999999</v>
      </c>
      <c r="F73" s="62">
        <f t="shared" si="8"/>
        <v>0.67854000000000103</v>
      </c>
      <c r="G73" s="62">
        <v>100</v>
      </c>
      <c r="H73" s="64">
        <v>100000</v>
      </c>
      <c r="I73" s="64">
        <f t="shared" si="9"/>
        <v>2.3231999999999997E-3</v>
      </c>
      <c r="J73" s="64">
        <f t="shared" si="10"/>
        <v>8.2145999999999891E-6</v>
      </c>
      <c r="K73" s="65">
        <f t="shared" si="11"/>
        <v>282.81352713461433</v>
      </c>
      <c r="L73" s="58"/>
      <c r="M73" s="66">
        <f>L72/I73</f>
        <v>23674.242424242428</v>
      </c>
      <c r="N73" s="64">
        <f t="shared" si="13"/>
        <v>9.2927999999999983E-2</v>
      </c>
      <c r="O73" s="65">
        <f t="shared" si="14"/>
        <v>3043.3618191999653</v>
      </c>
      <c r="X73" s="38">
        <v>4.0000000000000003E-5</v>
      </c>
      <c r="Y73" s="37">
        <v>2.2000000000000001E-3</v>
      </c>
      <c r="Z73" s="37">
        <f t="shared" si="15"/>
        <v>55</v>
      </c>
    </row>
    <row r="74" spans="1:26" x14ac:dyDescent="0.3">
      <c r="A74" s="12">
        <v>1.5</v>
      </c>
      <c r="B74" s="12">
        <v>-1.5</v>
      </c>
      <c r="C74" s="33">
        <v>1.2642599999999999</v>
      </c>
      <c r="D74" s="33">
        <v>-0.82020000000000004</v>
      </c>
      <c r="E74" s="12">
        <f t="shared" si="12"/>
        <v>2.7642600000000002</v>
      </c>
      <c r="F74" s="12">
        <f t="shared" si="8"/>
        <v>0.67979999999999996</v>
      </c>
      <c r="G74" s="12">
        <v>100</v>
      </c>
      <c r="H74" s="13">
        <v>100000</v>
      </c>
      <c r="I74" s="13">
        <f t="shared" si="9"/>
        <v>2.3574000000000008E-3</v>
      </c>
      <c r="J74" s="13">
        <f t="shared" si="10"/>
        <v>8.2020000000000004E-6</v>
      </c>
      <c r="K74" s="7">
        <f t="shared" si="11"/>
        <v>287.41770299926856</v>
      </c>
      <c r="L74" s="58"/>
      <c r="M74" s="18">
        <f>L72/I74</f>
        <v>23330.78815644353</v>
      </c>
      <c r="N74" s="13">
        <f t="shared" si="13"/>
        <v>9.4296000000000033E-2</v>
      </c>
      <c r="O74" s="7">
        <f t="shared" si="14"/>
        <v>3048.0370641306999</v>
      </c>
      <c r="Z74" s="1" t="e">
        <f t="shared" si="15"/>
        <v>#DIV/0!</v>
      </c>
    </row>
    <row r="75" spans="1:26" x14ac:dyDescent="0.3">
      <c r="A75" s="12">
        <v>2</v>
      </c>
      <c r="B75" s="12">
        <v>-1.5</v>
      </c>
      <c r="C75" s="33">
        <v>1.76454</v>
      </c>
      <c r="D75" s="33">
        <v>-0.82410000000000005</v>
      </c>
      <c r="E75" s="12">
        <f t="shared" si="12"/>
        <v>3.2645400000000002</v>
      </c>
      <c r="F75" s="12">
        <f t="shared" si="8"/>
        <v>0.67589999999999995</v>
      </c>
      <c r="G75" s="12">
        <v>100</v>
      </c>
      <c r="H75" s="13">
        <v>100000</v>
      </c>
      <c r="I75" s="13">
        <f t="shared" si="9"/>
        <v>2.3546000000000001E-3</v>
      </c>
      <c r="J75" s="13">
        <f t="shared" si="10"/>
        <v>8.2410000000000012E-6</v>
      </c>
      <c r="K75" s="7">
        <f t="shared" si="11"/>
        <v>285.71775269991502</v>
      </c>
      <c r="L75" s="58"/>
      <c r="M75" s="18">
        <f>L72/I75</f>
        <v>23358.532234774484</v>
      </c>
      <c r="N75" s="13">
        <f t="shared" si="13"/>
        <v>9.4184000000000004E-2</v>
      </c>
      <c r="O75" s="7">
        <f t="shared" si="14"/>
        <v>3033.6124256764951</v>
      </c>
      <c r="Z75" s="1" t="e">
        <f t="shared" si="15"/>
        <v>#DIV/0!</v>
      </c>
    </row>
    <row r="76" spans="1:26" x14ac:dyDescent="0.3">
      <c r="A76" s="12">
        <v>2.5</v>
      </c>
      <c r="B76" s="12">
        <v>-1.5</v>
      </c>
      <c r="C76" s="33">
        <v>2.2610600000000001</v>
      </c>
      <c r="D76" s="33">
        <v>-0.81932000000000005</v>
      </c>
      <c r="E76" s="12">
        <f t="shared" si="12"/>
        <v>3.7610600000000001</v>
      </c>
      <c r="F76" s="12">
        <f t="shared" si="8"/>
        <v>0.68067999999999995</v>
      </c>
      <c r="G76" s="12">
        <v>100</v>
      </c>
      <c r="H76" s="13">
        <v>100000</v>
      </c>
      <c r="I76" s="13">
        <f t="shared" si="9"/>
        <v>2.3893999999999994E-3</v>
      </c>
      <c r="J76" s="13">
        <f t="shared" si="10"/>
        <v>8.1931999999999998E-6</v>
      </c>
      <c r="K76" s="7">
        <f t="shared" si="11"/>
        <v>291.63208514377772</v>
      </c>
      <c r="L76" s="58"/>
      <c r="M76" s="18">
        <f>L72/I76</f>
        <v>23018.330961747724</v>
      </c>
      <c r="N76" s="13">
        <f t="shared" si="13"/>
        <v>9.5575999999999967E-2</v>
      </c>
      <c r="O76" s="7">
        <f t="shared" si="14"/>
        <v>3051.3108431382125</v>
      </c>
      <c r="Z76" s="1" t="e">
        <f t="shared" si="15"/>
        <v>#DIV/0!</v>
      </c>
    </row>
    <row r="77" spans="1:26" x14ac:dyDescent="0.3">
      <c r="A77" s="12">
        <v>3</v>
      </c>
      <c r="B77" s="12">
        <v>-1.5</v>
      </c>
      <c r="C77" s="33">
        <v>2.7601800000000001</v>
      </c>
      <c r="D77" s="33">
        <v>-0.82262000000000002</v>
      </c>
      <c r="E77" s="12">
        <f t="shared" si="12"/>
        <v>4.2601800000000001</v>
      </c>
      <c r="F77" s="12">
        <f t="shared" si="8"/>
        <v>0.67737999999999998</v>
      </c>
      <c r="G77" s="12">
        <v>100</v>
      </c>
      <c r="H77" s="13">
        <v>100000</v>
      </c>
      <c r="I77" s="13">
        <f t="shared" si="9"/>
        <v>2.3981999999999992E-3</v>
      </c>
      <c r="J77" s="13">
        <f t="shared" si="10"/>
        <v>8.226200000000001E-6</v>
      </c>
      <c r="K77" s="7">
        <f t="shared" si="11"/>
        <v>291.53193455058215</v>
      </c>
      <c r="L77" s="58"/>
      <c r="M77" s="18">
        <f>L72/I77</f>
        <v>22933.867066966901</v>
      </c>
      <c r="N77" s="13">
        <f t="shared" si="13"/>
        <v>9.5927999999999958E-2</v>
      </c>
      <c r="O77" s="7">
        <f t="shared" si="14"/>
        <v>3039.0702876176119</v>
      </c>
      <c r="Z77" s="1" t="e">
        <f t="shared" si="15"/>
        <v>#DIV/0!</v>
      </c>
    </row>
    <row r="78" spans="1:26" x14ac:dyDescent="0.3">
      <c r="A78" s="12">
        <v>3.5</v>
      </c>
      <c r="B78" s="12">
        <v>-1.5</v>
      </c>
      <c r="C78" s="33">
        <v>3.25814</v>
      </c>
      <c r="D78" s="33">
        <v>-0.82435999999999998</v>
      </c>
      <c r="E78" s="12">
        <f t="shared" si="12"/>
        <v>4.75814</v>
      </c>
      <c r="F78" s="12">
        <f t="shared" si="8"/>
        <v>0.67564000000000002</v>
      </c>
      <c r="G78" s="12">
        <v>100</v>
      </c>
      <c r="H78" s="13">
        <v>100000</v>
      </c>
      <c r="I78" s="13">
        <f t="shared" si="9"/>
        <v>2.4185999999999995E-3</v>
      </c>
      <c r="J78" s="13">
        <f t="shared" si="10"/>
        <v>8.2436000000000002E-6</v>
      </c>
      <c r="K78" s="7">
        <f t="shared" si="11"/>
        <v>293.39123683827449</v>
      </c>
      <c r="L78" s="58"/>
      <c r="M78" s="18">
        <f>L72/I78</f>
        <v>22740.428346977595</v>
      </c>
      <c r="N78" s="13">
        <f t="shared" si="13"/>
        <v>9.6743999999999969E-2</v>
      </c>
      <c r="O78" s="7">
        <f t="shared" si="14"/>
        <v>3032.655635887234</v>
      </c>
      <c r="Z78" s="1" t="e">
        <f t="shared" si="15"/>
        <v>#DIV/0!</v>
      </c>
    </row>
    <row r="79" spans="1:26" x14ac:dyDescent="0.3">
      <c r="A79" s="12">
        <v>4</v>
      </c>
      <c r="B79" s="12">
        <v>-1.5</v>
      </c>
      <c r="C79" s="33">
        <v>3.75624</v>
      </c>
      <c r="D79" s="33">
        <v>-0.82325999999999999</v>
      </c>
      <c r="E79" s="12">
        <f t="shared" si="12"/>
        <v>5.25624</v>
      </c>
      <c r="F79" s="12">
        <f t="shared" si="8"/>
        <v>0.67674000000000001</v>
      </c>
      <c r="G79" s="12">
        <v>100</v>
      </c>
      <c r="H79" s="13">
        <v>100000</v>
      </c>
      <c r="I79" s="13">
        <f t="shared" si="9"/>
        <v>2.4375999999999998E-3</v>
      </c>
      <c r="J79" s="13">
        <f t="shared" si="10"/>
        <v>8.2325999999999997E-6</v>
      </c>
      <c r="K79" s="7">
        <f t="shared" si="11"/>
        <v>296.09114981901223</v>
      </c>
      <c r="L79" s="58"/>
      <c r="M79" s="18">
        <f>L72/I79</f>
        <v>22563.17689530686</v>
      </c>
      <c r="N79" s="13">
        <f t="shared" si="13"/>
        <v>9.7503999999999993E-2</v>
      </c>
      <c r="O79" s="7">
        <f t="shared" si="14"/>
        <v>3036.7077229550814</v>
      </c>
      <c r="Z79" s="1" t="e">
        <f t="shared" si="15"/>
        <v>#DIV/0!</v>
      </c>
    </row>
    <row r="80" spans="1:26" x14ac:dyDescent="0.3">
      <c r="A80" s="12">
        <v>4.5</v>
      </c>
      <c r="B80" s="12">
        <v>-1.5</v>
      </c>
      <c r="C80" s="33">
        <v>4.2542799999999996</v>
      </c>
      <c r="D80" s="33">
        <v>-0.82555999999999996</v>
      </c>
      <c r="E80" s="12">
        <f t="shared" si="12"/>
        <v>5.7542799999999996</v>
      </c>
      <c r="F80" s="12">
        <f t="shared" si="8"/>
        <v>0.67444000000000004</v>
      </c>
      <c r="G80" s="12">
        <v>100</v>
      </c>
      <c r="H80" s="13">
        <v>100000</v>
      </c>
      <c r="I80" s="13">
        <f t="shared" si="9"/>
        <v>2.457200000000004E-3</v>
      </c>
      <c r="J80" s="13">
        <f t="shared" si="10"/>
        <v>8.2555999999999994E-6</v>
      </c>
      <c r="K80" s="7">
        <f t="shared" si="11"/>
        <v>297.64038955375798</v>
      </c>
      <c r="L80" s="58"/>
      <c r="M80" s="18">
        <f>L72/I80</f>
        <v>22383.200390688551</v>
      </c>
      <c r="N80" s="13">
        <f t="shared" si="13"/>
        <v>9.8288000000000153E-2</v>
      </c>
      <c r="O80" s="7">
        <f t="shared" si="14"/>
        <v>3028.2474926110767</v>
      </c>
      <c r="Z80" s="1" t="e">
        <f t="shared" si="15"/>
        <v>#DIV/0!</v>
      </c>
    </row>
    <row r="81" spans="1:26" x14ac:dyDescent="0.3">
      <c r="A81" s="12">
        <v>5</v>
      </c>
      <c r="B81" s="12">
        <v>-1.5</v>
      </c>
      <c r="C81" s="33">
        <v>4.7514399999999997</v>
      </c>
      <c r="D81" s="33">
        <v>-0.82420000000000004</v>
      </c>
      <c r="E81" s="12">
        <f t="shared" si="12"/>
        <v>6.2514399999999997</v>
      </c>
      <c r="F81" s="12">
        <f t="shared" si="8"/>
        <v>0.67579999999999996</v>
      </c>
      <c r="G81" s="12">
        <v>100</v>
      </c>
      <c r="H81" s="13">
        <v>100000</v>
      </c>
      <c r="I81" s="13">
        <f t="shared" si="9"/>
        <v>2.4856000000000032E-3</v>
      </c>
      <c r="J81" s="13">
        <f t="shared" si="10"/>
        <v>8.242E-6</v>
      </c>
      <c r="K81" s="7">
        <f t="shared" si="11"/>
        <v>301.57728706624641</v>
      </c>
      <c r="L81" s="58"/>
      <c r="M81" s="18">
        <f>L72/I81</f>
        <v>22127.454135822307</v>
      </c>
      <c r="N81" s="13">
        <f t="shared" si="13"/>
        <v>9.9424000000000123E-2</v>
      </c>
      <c r="O81" s="7">
        <f t="shared" si="14"/>
        <v>3033.2443581654938</v>
      </c>
      <c r="Z81" s="1" t="e">
        <f t="shared" si="15"/>
        <v>#DIV/0!</v>
      </c>
    </row>
    <row r="82" spans="1:26" x14ac:dyDescent="0.3">
      <c r="A82" s="8">
        <v>0.5</v>
      </c>
      <c r="B82" s="8">
        <v>-1</v>
      </c>
      <c r="C82" s="30">
        <v>0.57667999999999997</v>
      </c>
      <c r="D82" s="30">
        <v>-0.33901999999999999</v>
      </c>
      <c r="E82" s="8"/>
      <c r="F82" s="8">
        <f t="shared" si="8"/>
        <v>0.66098000000000001</v>
      </c>
      <c r="G82" s="8">
        <v>100</v>
      </c>
      <c r="H82" s="9">
        <v>100000</v>
      </c>
      <c r="I82" s="9">
        <f t="shared" si="9"/>
        <v>-7.6679999999999967E-4</v>
      </c>
      <c r="J82" s="9">
        <f t="shared" si="10"/>
        <v>3.3901999999999997E-6</v>
      </c>
      <c r="K82" s="5">
        <f t="shared" si="11"/>
        <v>-226.18134623326048</v>
      </c>
      <c r="L82" s="55">
        <f>Z83</f>
        <v>14</v>
      </c>
      <c r="M82" s="16">
        <f>L82/I82</f>
        <v>-18257.694314032349</v>
      </c>
      <c r="N82" s="9">
        <f t="shared" si="13"/>
        <v>-3.0671999999999984E-2</v>
      </c>
      <c r="O82" s="5">
        <f t="shared" si="14"/>
        <v>7374.1962126128265</v>
      </c>
      <c r="Z82" s="1" t="e">
        <f t="shared" si="15"/>
        <v>#DIV/0!</v>
      </c>
    </row>
    <row r="83" spans="1:26" x14ac:dyDescent="0.3">
      <c r="A83" s="8">
        <v>1</v>
      </c>
      <c r="B83" s="8">
        <v>-1</v>
      </c>
      <c r="C83" s="30">
        <v>0.91202000000000005</v>
      </c>
      <c r="D83" s="30">
        <v>-0.34042</v>
      </c>
      <c r="E83" s="8"/>
      <c r="F83" s="8">
        <f t="shared" si="8"/>
        <v>0.65958000000000006</v>
      </c>
      <c r="G83" s="8">
        <v>100</v>
      </c>
      <c r="H83" s="9">
        <v>100000</v>
      </c>
      <c r="I83" s="9">
        <f t="shared" si="9"/>
        <v>8.7979999999999948E-4</v>
      </c>
      <c r="J83" s="9">
        <f t="shared" si="10"/>
        <v>3.4041999999999999E-6</v>
      </c>
      <c r="K83" s="5">
        <f t="shared" si="11"/>
        <v>258.44544973855812</v>
      </c>
      <c r="L83" s="58"/>
      <c r="M83" s="16">
        <f>L82/I83</f>
        <v>15912.707433507625</v>
      </c>
      <c r="N83" s="9">
        <f t="shared" si="13"/>
        <v>3.519199999999998E-2</v>
      </c>
      <c r="O83" s="5">
        <f t="shared" si="14"/>
        <v>7343.8693378767412</v>
      </c>
      <c r="X83" s="38">
        <v>5.0000000000000002E-5</v>
      </c>
      <c r="Y83" s="37">
        <v>6.9999999999999999E-4</v>
      </c>
      <c r="Z83" s="37">
        <f t="shared" si="15"/>
        <v>14</v>
      </c>
    </row>
    <row r="84" spans="1:26" x14ac:dyDescent="0.3">
      <c r="A84" s="8">
        <v>1.5</v>
      </c>
      <c r="B84" s="8">
        <v>-1</v>
      </c>
      <c r="C84" s="30">
        <v>1.41516</v>
      </c>
      <c r="D84" s="30">
        <v>-0.34758</v>
      </c>
      <c r="E84" s="8">
        <f t="shared" si="12"/>
        <v>2.4151600000000002</v>
      </c>
      <c r="F84" s="8">
        <f t="shared" si="8"/>
        <v>0.65242</v>
      </c>
      <c r="G84" s="8">
        <v>100</v>
      </c>
      <c r="H84" s="9">
        <v>100000</v>
      </c>
      <c r="I84" s="9">
        <f t="shared" si="9"/>
        <v>8.4840000000000024E-4</v>
      </c>
      <c r="J84" s="9">
        <f t="shared" si="10"/>
        <v>3.4757999999999998E-6</v>
      </c>
      <c r="K84" s="5">
        <f t="shared" si="11"/>
        <v>244.08769204211987</v>
      </c>
      <c r="L84" s="58"/>
      <c r="M84" s="16">
        <f>L82/I84</f>
        <v>16501.650165016497</v>
      </c>
      <c r="N84" s="9">
        <f t="shared" si="13"/>
        <v>3.3936000000000008E-2</v>
      </c>
      <c r="O84" s="5">
        <f t="shared" si="14"/>
        <v>7192.5887565452567</v>
      </c>
      <c r="Z84" s="1" t="e">
        <f t="shared" si="15"/>
        <v>#DIV/0!</v>
      </c>
    </row>
    <row r="85" spans="1:26" x14ac:dyDescent="0.3">
      <c r="A85" s="8">
        <v>2</v>
      </c>
      <c r="B85" s="8">
        <v>-1</v>
      </c>
      <c r="C85" s="30">
        <v>1.91106</v>
      </c>
      <c r="D85" s="30">
        <v>-0.34239999999999998</v>
      </c>
      <c r="E85" s="8">
        <f t="shared" si="12"/>
        <v>2.91106</v>
      </c>
      <c r="F85" s="8">
        <f t="shared" si="8"/>
        <v>0.65759999999999996</v>
      </c>
      <c r="G85" s="8">
        <v>100</v>
      </c>
      <c r="H85" s="9">
        <v>100000</v>
      </c>
      <c r="I85" s="9">
        <f t="shared" si="9"/>
        <v>8.8940000000000015E-4</v>
      </c>
      <c r="J85" s="9">
        <f t="shared" si="10"/>
        <v>3.4239999999999997E-6</v>
      </c>
      <c r="K85" s="5">
        <f t="shared" si="11"/>
        <v>259.75467289719631</v>
      </c>
      <c r="L85" s="58"/>
      <c r="M85" s="16">
        <f>L82/I85</f>
        <v>15740.948954351245</v>
      </c>
      <c r="N85" s="9">
        <f t="shared" si="13"/>
        <v>3.5576000000000003E-2</v>
      </c>
      <c r="O85" s="5">
        <f t="shared" si="14"/>
        <v>7301.4018691588799</v>
      </c>
      <c r="Z85" s="1" t="e">
        <f t="shared" si="15"/>
        <v>#DIV/0!</v>
      </c>
    </row>
    <row r="86" spans="1:26" x14ac:dyDescent="0.3">
      <c r="A86" s="8">
        <v>2.5</v>
      </c>
      <c r="B86" s="8">
        <v>-1</v>
      </c>
      <c r="C86" s="30">
        <v>2.41134</v>
      </c>
      <c r="D86" s="30">
        <v>-0.34420000000000001</v>
      </c>
      <c r="E86" s="8">
        <f t="shared" si="12"/>
        <v>3.41134</v>
      </c>
      <c r="F86" s="8">
        <f t="shared" si="8"/>
        <v>0.65579999999999994</v>
      </c>
      <c r="G86" s="8">
        <v>100</v>
      </c>
      <c r="H86" s="9">
        <v>100000</v>
      </c>
      <c r="I86" s="9">
        <f t="shared" si="9"/>
        <v>8.8659999999999965E-4</v>
      </c>
      <c r="J86" s="9">
        <f t="shared" si="10"/>
        <v>3.4420000000000002E-6</v>
      </c>
      <c r="K86" s="5">
        <f t="shared" si="11"/>
        <v>257.58280069726891</v>
      </c>
      <c r="L86" s="58"/>
      <c r="M86" s="16">
        <f>L82/I86</f>
        <v>15790.66095195128</v>
      </c>
      <c r="N86" s="9">
        <f t="shared" si="13"/>
        <v>3.5463999999999982E-2</v>
      </c>
      <c r="O86" s="5">
        <f t="shared" si="14"/>
        <v>7263.2190586868101</v>
      </c>
      <c r="Z86" s="1" t="e">
        <f t="shared" si="15"/>
        <v>#DIV/0!</v>
      </c>
    </row>
    <row r="87" spans="1:26" x14ac:dyDescent="0.3">
      <c r="A87" s="8">
        <v>3</v>
      </c>
      <c r="B87" s="8">
        <v>-1</v>
      </c>
      <c r="C87" s="30">
        <v>2.9084400000000001</v>
      </c>
      <c r="D87" s="30">
        <v>-0.34411999999999998</v>
      </c>
      <c r="E87" s="8">
        <f t="shared" si="12"/>
        <v>3.9084400000000001</v>
      </c>
      <c r="F87" s="8">
        <f t="shared" si="8"/>
        <v>0.65588000000000002</v>
      </c>
      <c r="G87" s="8">
        <v>100</v>
      </c>
      <c r="H87" s="9">
        <v>100000</v>
      </c>
      <c r="I87" s="9">
        <f t="shared" si="9"/>
        <v>9.1559999999999862E-4</v>
      </c>
      <c r="J87" s="9">
        <f t="shared" si="10"/>
        <v>3.4411999999999998E-6</v>
      </c>
      <c r="K87" s="5">
        <f t="shared" si="11"/>
        <v>266.06997558991009</v>
      </c>
      <c r="L87" s="58"/>
      <c r="M87" s="16">
        <f>L82/I87</f>
        <v>15290.519877675864</v>
      </c>
      <c r="N87" s="9">
        <f t="shared" si="13"/>
        <v>3.6623999999999941E-2</v>
      </c>
      <c r="O87" s="5">
        <f t="shared" si="14"/>
        <v>7264.907590375451</v>
      </c>
      <c r="Z87" s="1" t="e">
        <f t="shared" si="15"/>
        <v>#DIV/0!</v>
      </c>
    </row>
    <row r="88" spans="1:26" x14ac:dyDescent="0.3">
      <c r="A88" s="8">
        <v>3.5</v>
      </c>
      <c r="B88" s="8">
        <v>-1</v>
      </c>
      <c r="C88" s="30">
        <v>3.4068800000000001</v>
      </c>
      <c r="D88" s="30">
        <v>-0.34695999999999999</v>
      </c>
      <c r="E88" s="8">
        <f t="shared" si="12"/>
        <v>4.4068800000000001</v>
      </c>
      <c r="F88" s="8">
        <f t="shared" si="8"/>
        <v>0.65304000000000006</v>
      </c>
      <c r="G88" s="8">
        <v>100</v>
      </c>
      <c r="H88" s="9">
        <v>100000</v>
      </c>
      <c r="I88" s="9">
        <f t="shared" si="9"/>
        <v>9.3119999999999867E-4</v>
      </c>
      <c r="J88" s="9">
        <f t="shared" si="10"/>
        <v>3.4695999999999998E-6</v>
      </c>
      <c r="K88" s="5">
        <f t="shared" si="11"/>
        <v>268.38828683421684</v>
      </c>
      <c r="L88" s="58"/>
      <c r="M88" s="16">
        <f>L82/I88</f>
        <v>15034.364261168406</v>
      </c>
      <c r="N88" s="9">
        <f t="shared" si="13"/>
        <v>3.7247999999999948E-2</v>
      </c>
      <c r="O88" s="5">
        <f t="shared" si="14"/>
        <v>7205.4415494581517</v>
      </c>
      <c r="Z88" s="1" t="e">
        <f t="shared" si="15"/>
        <v>#DIV/0!</v>
      </c>
    </row>
    <row r="89" spans="1:26" x14ac:dyDescent="0.3">
      <c r="A89" s="8">
        <v>4</v>
      </c>
      <c r="B89" s="8">
        <v>-1</v>
      </c>
      <c r="C89" s="30">
        <v>3.9002599999999998</v>
      </c>
      <c r="D89" s="30">
        <v>-0.33951999999999899</v>
      </c>
      <c r="E89" s="8">
        <f t="shared" si="12"/>
        <v>4.9002599999999994</v>
      </c>
      <c r="F89" s="8">
        <f t="shared" si="8"/>
        <v>0.66048000000000107</v>
      </c>
      <c r="G89" s="8">
        <v>100</v>
      </c>
      <c r="H89" s="9">
        <v>100000</v>
      </c>
      <c r="I89" s="9">
        <f t="shared" si="9"/>
        <v>9.9740000000000158E-4</v>
      </c>
      <c r="J89" s="9">
        <f t="shared" si="10"/>
        <v>3.39519999999999E-6</v>
      </c>
      <c r="K89" s="5">
        <f t="shared" si="11"/>
        <v>293.76767200754136</v>
      </c>
      <c r="L89" s="58"/>
      <c r="M89" s="16">
        <f>L82/I89</f>
        <v>14036.494886705412</v>
      </c>
      <c r="N89" s="9">
        <f t="shared" si="13"/>
        <v>3.9896000000000063E-2</v>
      </c>
      <c r="O89" s="5">
        <f t="shared" si="14"/>
        <v>7363.3364750235851</v>
      </c>
      <c r="Z89" s="1" t="e">
        <f t="shared" si="15"/>
        <v>#DIV/0!</v>
      </c>
    </row>
    <row r="90" spans="1:26" x14ac:dyDescent="0.3">
      <c r="A90" s="8">
        <v>4.5</v>
      </c>
      <c r="B90" s="8">
        <v>-1</v>
      </c>
      <c r="C90" s="30">
        <v>4.3993200000000003</v>
      </c>
      <c r="D90" s="30">
        <v>-0.34188000000000002</v>
      </c>
      <c r="E90" s="8">
        <f t="shared" si="12"/>
        <v>5.3993200000000003</v>
      </c>
      <c r="F90" s="8">
        <f t="shared" si="8"/>
        <v>0.65812000000000004</v>
      </c>
      <c r="G90" s="8">
        <v>100</v>
      </c>
      <c r="H90" s="9">
        <v>100000</v>
      </c>
      <c r="I90" s="9">
        <f t="shared" si="9"/>
        <v>1.0067999999999965E-3</v>
      </c>
      <c r="J90" s="9">
        <f t="shared" si="10"/>
        <v>3.4188000000000002E-6</v>
      </c>
      <c r="K90" s="5">
        <f t="shared" si="11"/>
        <v>294.48929448929346</v>
      </c>
      <c r="L90" s="58"/>
      <c r="M90" s="16">
        <f>L82/I90</f>
        <v>13905.442987683798</v>
      </c>
      <c r="N90" s="9">
        <f t="shared" si="13"/>
        <v>4.0271999999999857E-2</v>
      </c>
      <c r="O90" s="5">
        <f t="shared" si="14"/>
        <v>7312.5073125073122</v>
      </c>
      <c r="Z90" s="1" t="e">
        <f t="shared" si="15"/>
        <v>#DIV/0!</v>
      </c>
    </row>
    <row r="91" spans="1:26" x14ac:dyDescent="0.3">
      <c r="A91" s="8">
        <v>5</v>
      </c>
      <c r="B91" s="8">
        <v>-1</v>
      </c>
      <c r="C91" s="30">
        <v>4.8973800000000001</v>
      </c>
      <c r="D91" s="30">
        <v>-0.34329999999999999</v>
      </c>
      <c r="E91" s="8">
        <f t="shared" si="12"/>
        <v>5.8973800000000001</v>
      </c>
      <c r="F91" s="8">
        <f t="shared" si="8"/>
        <v>0.65670000000000006</v>
      </c>
      <c r="G91" s="8">
        <v>100</v>
      </c>
      <c r="H91" s="9">
        <v>100000</v>
      </c>
      <c r="I91" s="9">
        <f t="shared" si="9"/>
        <v>1.0261999999999992E-3</v>
      </c>
      <c r="J91" s="9">
        <f t="shared" si="10"/>
        <v>3.433E-6</v>
      </c>
      <c r="K91" s="5">
        <f t="shared" si="11"/>
        <v>298.92222545878218</v>
      </c>
      <c r="L91" s="58"/>
      <c r="M91" s="16">
        <f>L82/I91</f>
        <v>13642.56480218282</v>
      </c>
      <c r="N91" s="9">
        <f t="shared" si="13"/>
        <v>4.1047999999999966E-2</v>
      </c>
      <c r="O91" s="5">
        <f t="shared" si="14"/>
        <v>7282.2604136323916</v>
      </c>
      <c r="Z91" s="1" t="e">
        <f t="shared" si="15"/>
        <v>#DIV/0!</v>
      </c>
    </row>
  </sheetData>
  <mergeCells count="9">
    <mergeCell ref="L62:L71"/>
    <mergeCell ref="L72:L81"/>
    <mergeCell ref="L82:L91"/>
    <mergeCell ref="L22:L31"/>
    <mergeCell ref="L2:L11"/>
    <mergeCell ref="L12:L21"/>
    <mergeCell ref="L32:L41"/>
    <mergeCell ref="L42:L51"/>
    <mergeCell ref="L52:L6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1"/>
  <sheetViews>
    <sheetView workbookViewId="0">
      <selection activeCell="N9" sqref="N9"/>
    </sheetView>
  </sheetViews>
  <sheetFormatPr defaultColWidth="9" defaultRowHeight="14.4" x14ac:dyDescent="0.3"/>
  <cols>
    <col min="1" max="1" width="8.88671875" style="1" bestFit="1" customWidth="1"/>
    <col min="2" max="2" width="8.5546875" style="1" bestFit="1" customWidth="1"/>
    <col min="3" max="4" width="14.109375" style="19" bestFit="1" customWidth="1"/>
    <col min="5" max="5" width="10" style="20" bestFit="1" customWidth="1"/>
    <col min="6" max="6" width="12.33203125" style="19" bestFit="1" customWidth="1"/>
    <col min="7" max="8" width="9.109375" style="1" bestFit="1" customWidth="1"/>
    <col min="9" max="10" width="9" style="1" bestFit="1" customWidth="1"/>
    <col min="11" max="11" width="8.33203125" style="1" bestFit="1" customWidth="1"/>
    <col min="12" max="12" width="10.44140625" style="15" bestFit="1" customWidth="1"/>
    <col min="13" max="13" width="9" style="15" bestFit="1" customWidth="1"/>
    <col min="14" max="14" width="13.33203125" style="14" bestFit="1" customWidth="1"/>
    <col min="15" max="15" width="12.33203125" style="15" bestFit="1" customWidth="1"/>
    <col min="16" max="25" width="9" style="1"/>
    <col min="26" max="26" width="11.44140625" style="1" customWidth="1"/>
    <col min="27" max="16384" width="9" style="1"/>
  </cols>
  <sheetData>
    <row r="1" spans="1:26" x14ac:dyDescent="0.3">
      <c r="A1" s="1" t="s">
        <v>26</v>
      </c>
      <c r="B1" s="1" t="s">
        <v>27</v>
      </c>
      <c r="C1" s="19" t="s">
        <v>2</v>
      </c>
      <c r="D1" s="19" t="s">
        <v>3</v>
      </c>
      <c r="E1" s="20" t="s">
        <v>28</v>
      </c>
      <c r="F1" s="19" t="s">
        <v>29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5" t="s">
        <v>11</v>
      </c>
      <c r="M1" s="15" t="s">
        <v>12</v>
      </c>
      <c r="N1" s="14" t="s">
        <v>13</v>
      </c>
      <c r="O1" s="15" t="s">
        <v>14</v>
      </c>
    </row>
    <row r="2" spans="1:26" x14ac:dyDescent="0.3">
      <c r="A2" s="8">
        <v>5</v>
      </c>
      <c r="B2" s="8">
        <v>-5</v>
      </c>
      <c r="C2" s="35">
        <v>-4.4341730499938601</v>
      </c>
      <c r="D2" s="35">
        <v>4.2789288400806802</v>
      </c>
      <c r="E2" s="26">
        <f>A2-C2</f>
        <v>9.4341730499938592</v>
      </c>
      <c r="F2" s="2">
        <f>A2-D2</f>
        <v>0.7210711599193198</v>
      </c>
      <c r="G2" s="8">
        <v>100</v>
      </c>
      <c r="H2" s="9">
        <v>100000</v>
      </c>
      <c r="I2" s="9">
        <f>(C2-B2)/G2</f>
        <v>5.658269500061399E-3</v>
      </c>
      <c r="J2" s="9">
        <f>(D2-0)/H2</f>
        <v>4.2789288400806803E-5</v>
      </c>
      <c r="K2" s="5">
        <f t="shared" ref="K2:K65" si="0">I2/J2</f>
        <v>132.2356531630171</v>
      </c>
      <c r="L2" s="55">
        <f>Z6</f>
        <v>132.5</v>
      </c>
      <c r="M2" s="16">
        <f>L2/I2</f>
        <v>23417.053570630069</v>
      </c>
      <c r="N2" s="9">
        <f>I2/0.025</f>
        <v>0.22633078000245596</v>
      </c>
      <c r="O2" s="5">
        <f>0.025/J2</f>
        <v>584.25837246521303</v>
      </c>
      <c r="X2" s="36" t="s">
        <v>15</v>
      </c>
      <c r="Y2" s="36" t="s">
        <v>16</v>
      </c>
      <c r="Z2" s="36" t="s">
        <v>17</v>
      </c>
    </row>
    <row r="3" spans="1:26" x14ac:dyDescent="0.3">
      <c r="A3" s="8">
        <v>5</v>
      </c>
      <c r="B3" s="8">
        <v>-4.5</v>
      </c>
      <c r="C3" s="35">
        <v>-3.9361045279799698</v>
      </c>
      <c r="D3" s="35">
        <v>4.2789288421276401</v>
      </c>
      <c r="E3" s="26">
        <f t="shared" ref="E3:E11" si="1">A3-C3</f>
        <v>8.9361045279799693</v>
      </c>
      <c r="F3" s="2">
        <f t="shared" ref="F3:F11" si="2">A3-D3</f>
        <v>0.72107115787235987</v>
      </c>
      <c r="G3" s="8">
        <v>100</v>
      </c>
      <c r="H3" s="9">
        <v>100000</v>
      </c>
      <c r="I3" s="9">
        <f t="shared" ref="I3:I11" si="3">(C3-B3)/G3</f>
        <v>5.638954720200302E-3</v>
      </c>
      <c r="J3" s="9">
        <f t="shared" ref="J3:J11" si="4">(D3-0)/H3</f>
        <v>4.2789288421276404E-5</v>
      </c>
      <c r="K3" s="5">
        <f t="shared" si="0"/>
        <v>131.78426022612723</v>
      </c>
      <c r="L3" s="58"/>
      <c r="M3" s="16">
        <f>L2/I3</f>
        <v>23497.262626590738</v>
      </c>
      <c r="N3" s="9">
        <f t="shared" ref="N3:N66" si="5">I3/0.025</f>
        <v>0.22555818880801207</v>
      </c>
      <c r="O3" s="5">
        <f t="shared" ref="O3:O66" si="6">0.025/J3</f>
        <v>584.25837218571473</v>
      </c>
      <c r="X3" s="36" t="s">
        <v>18</v>
      </c>
      <c r="Y3" s="36" t="s">
        <v>19</v>
      </c>
      <c r="Z3" s="36" t="s">
        <v>20</v>
      </c>
    </row>
    <row r="4" spans="1:26" x14ac:dyDescent="0.3">
      <c r="A4" s="8">
        <v>5</v>
      </c>
      <c r="B4" s="8">
        <v>-4</v>
      </c>
      <c r="C4" s="35">
        <v>-3.43803600591011</v>
      </c>
      <c r="D4" s="35">
        <v>4.2789288441444304</v>
      </c>
      <c r="E4" s="26">
        <f t="shared" si="1"/>
        <v>8.43803600591011</v>
      </c>
      <c r="F4" s="2">
        <f t="shared" si="2"/>
        <v>0.72107115585556958</v>
      </c>
      <c r="G4" s="8">
        <v>100</v>
      </c>
      <c r="H4" s="9">
        <v>100000</v>
      </c>
      <c r="I4" s="9">
        <f t="shared" si="3"/>
        <v>5.6196399408988996E-3</v>
      </c>
      <c r="J4" s="9">
        <f t="shared" si="4"/>
        <v>4.2789288441444306E-5</v>
      </c>
      <c r="K4" s="5">
        <f t="shared" si="0"/>
        <v>131.33286730367547</v>
      </c>
      <c r="L4" s="58"/>
      <c r="M4" s="16">
        <f>L2/I4</f>
        <v>23578.023039462867</v>
      </c>
      <c r="N4" s="9">
        <f t="shared" si="5"/>
        <v>0.22478559763595599</v>
      </c>
      <c r="O4" s="5">
        <f t="shared" si="6"/>
        <v>584.25837191033577</v>
      </c>
    </row>
    <row r="5" spans="1:26" x14ac:dyDescent="0.3">
      <c r="A5" s="8">
        <v>5</v>
      </c>
      <c r="B5" s="8">
        <v>-3.5</v>
      </c>
      <c r="C5" s="35">
        <v>-2.93996748377868</v>
      </c>
      <c r="D5" s="35">
        <v>4.2789288461306301</v>
      </c>
      <c r="E5" s="26">
        <f t="shared" si="1"/>
        <v>7.9399674837786804</v>
      </c>
      <c r="F5" s="2">
        <f t="shared" si="2"/>
        <v>0.72107115386936993</v>
      </c>
      <c r="G5" s="8">
        <v>100</v>
      </c>
      <c r="H5" s="9">
        <v>100000</v>
      </c>
      <c r="I5" s="9">
        <f t="shared" si="3"/>
        <v>5.6003251622132001E-3</v>
      </c>
      <c r="J5" s="9">
        <f t="shared" si="4"/>
        <v>4.2789288461306301E-5</v>
      </c>
      <c r="K5" s="5">
        <f t="shared" si="0"/>
        <v>130.88147439697411</v>
      </c>
      <c r="L5" s="58"/>
      <c r="M5" s="16">
        <f>L2/I5</f>
        <v>23659.340513656378</v>
      </c>
      <c r="N5" s="9">
        <f t="shared" si="5"/>
        <v>0.22401300648852798</v>
      </c>
      <c r="O5" s="5">
        <f t="shared" si="6"/>
        <v>584.25837163913388</v>
      </c>
      <c r="X5" s="34" t="s">
        <v>21</v>
      </c>
      <c r="Y5" s="34" t="s">
        <v>22</v>
      </c>
      <c r="Z5" s="34" t="s">
        <v>23</v>
      </c>
    </row>
    <row r="6" spans="1:26" x14ac:dyDescent="0.3">
      <c r="A6" s="8">
        <v>5</v>
      </c>
      <c r="B6" s="8">
        <v>-3</v>
      </c>
      <c r="C6" s="35">
        <v>-2.4418989615865101</v>
      </c>
      <c r="D6" s="35">
        <v>4.2789288480862604</v>
      </c>
      <c r="E6" s="26">
        <f t="shared" si="1"/>
        <v>7.4418989615865101</v>
      </c>
      <c r="F6" s="2">
        <f t="shared" si="2"/>
        <v>0.72107115191373961</v>
      </c>
      <c r="G6" s="8">
        <v>100</v>
      </c>
      <c r="H6" s="9">
        <v>100000</v>
      </c>
      <c r="I6" s="9">
        <f t="shared" si="3"/>
        <v>5.5810103841348992E-3</v>
      </c>
      <c r="J6" s="9">
        <f t="shared" si="4"/>
        <v>4.2789288480862604E-5</v>
      </c>
      <c r="K6" s="5">
        <f t="shared" si="0"/>
        <v>130.43008150581872</v>
      </c>
      <c r="L6" s="58"/>
      <c r="M6" s="16">
        <f>L2/I6</f>
        <v>23741.220832818526</v>
      </c>
      <c r="N6" s="9">
        <f t="shared" si="5"/>
        <v>0.22324041536539596</v>
      </c>
      <c r="O6" s="5">
        <f t="shared" si="6"/>
        <v>584.25837137210601</v>
      </c>
      <c r="X6" s="38">
        <v>4.0000000000000003E-5</v>
      </c>
      <c r="Y6" s="38">
        <v>5.3E-3</v>
      </c>
      <c r="Z6" s="37">
        <f>ABS(-Y6/X6)</f>
        <v>132.5</v>
      </c>
    </row>
    <row r="7" spans="1:26" x14ac:dyDescent="0.3">
      <c r="A7" s="8">
        <v>5</v>
      </c>
      <c r="B7" s="8">
        <v>-2.5</v>
      </c>
      <c r="C7" s="35">
        <v>-1.9438304393402099</v>
      </c>
      <c r="D7" s="35">
        <v>4.2789288500117504</v>
      </c>
      <c r="E7" s="26">
        <f t="shared" si="1"/>
        <v>6.9438304393402097</v>
      </c>
      <c r="F7" s="2">
        <f t="shared" si="2"/>
        <v>0.72107114998824962</v>
      </c>
      <c r="G7" s="8">
        <v>100</v>
      </c>
      <c r="H7" s="9">
        <v>100000</v>
      </c>
      <c r="I7" s="9">
        <f t="shared" si="3"/>
        <v>5.5616956065979006E-3</v>
      </c>
      <c r="J7" s="9">
        <f t="shared" si="4"/>
        <v>4.2789288500117506E-5</v>
      </c>
      <c r="K7" s="5">
        <f t="shared" si="0"/>
        <v>129.97868862864189</v>
      </c>
      <c r="L7" s="58"/>
      <c r="M7" s="16">
        <f>L2/I7</f>
        <v>23823.669861186539</v>
      </c>
      <c r="N7" s="9">
        <f t="shared" si="5"/>
        <v>0.22246782426391601</v>
      </c>
      <c r="O7" s="5">
        <f t="shared" si="6"/>
        <v>584.25837110919349</v>
      </c>
      <c r="Z7" s="1" t="e">
        <f t="shared" ref="Z7:Z70" si="7">ABS(-Y7/X7)</f>
        <v>#DIV/0!</v>
      </c>
    </row>
    <row r="8" spans="1:26" x14ac:dyDescent="0.3">
      <c r="A8" s="8">
        <v>5</v>
      </c>
      <c r="B8" s="8">
        <v>-2</v>
      </c>
      <c r="C8" s="35">
        <v>-1.44576191703252</v>
      </c>
      <c r="D8" s="35">
        <v>4.27892885190656</v>
      </c>
      <c r="E8" s="26">
        <f t="shared" si="1"/>
        <v>6.4457619170325202</v>
      </c>
      <c r="F8" s="2">
        <f t="shared" si="2"/>
        <v>0.72107114809343997</v>
      </c>
      <c r="G8" s="8">
        <v>100</v>
      </c>
      <c r="H8" s="9">
        <v>100000</v>
      </c>
      <c r="I8" s="9">
        <f t="shared" si="3"/>
        <v>5.5423808296747997E-3</v>
      </c>
      <c r="J8" s="9">
        <f t="shared" si="4"/>
        <v>4.2789288519065599E-5</v>
      </c>
      <c r="K8" s="5">
        <f t="shared" si="0"/>
        <v>129.52729576714705</v>
      </c>
      <c r="L8" s="58"/>
      <c r="M8" s="16">
        <f>L2/I8</f>
        <v>23906.693544148689</v>
      </c>
      <c r="N8" s="9">
        <f t="shared" si="5"/>
        <v>0.22169523318699197</v>
      </c>
      <c r="O8" s="5">
        <f t="shared" si="6"/>
        <v>584.25837085047033</v>
      </c>
      <c r="Z8" s="1" t="e">
        <f t="shared" si="7"/>
        <v>#DIV/0!</v>
      </c>
    </row>
    <row r="9" spans="1:26" x14ac:dyDescent="0.3">
      <c r="A9" s="8">
        <v>5</v>
      </c>
      <c r="B9" s="8">
        <v>-1.5</v>
      </c>
      <c r="C9" s="35">
        <v>-0.94769339466977898</v>
      </c>
      <c r="D9" s="35">
        <v>4.2789288537710997</v>
      </c>
      <c r="E9" s="26">
        <f t="shared" si="1"/>
        <v>5.9476933946697788</v>
      </c>
      <c r="F9" s="2">
        <f t="shared" si="2"/>
        <v>0.72107114622890034</v>
      </c>
      <c r="G9" s="8">
        <v>100</v>
      </c>
      <c r="H9" s="9">
        <v>100000</v>
      </c>
      <c r="I9" s="9">
        <f t="shared" si="3"/>
        <v>5.52306605330221E-3</v>
      </c>
      <c r="J9" s="9">
        <f t="shared" si="4"/>
        <v>4.2789288537710997E-5</v>
      </c>
      <c r="K9" s="5">
        <f t="shared" si="0"/>
        <v>129.07590291983072</v>
      </c>
      <c r="L9" s="58"/>
      <c r="M9" s="16">
        <f>L2/I9</f>
        <v>23990.297910845915</v>
      </c>
      <c r="N9" s="9">
        <f t="shared" si="5"/>
        <v>0.2209226421320884</v>
      </c>
      <c r="O9" s="5">
        <f t="shared" si="6"/>
        <v>584.25837059588025</v>
      </c>
      <c r="Z9" s="1" t="e">
        <f t="shared" si="7"/>
        <v>#DIV/0!</v>
      </c>
    </row>
    <row r="10" spans="1:26" x14ac:dyDescent="0.3">
      <c r="A10" s="8">
        <v>5</v>
      </c>
      <c r="B10" s="8">
        <v>-1</v>
      </c>
      <c r="C10" s="35">
        <v>-0.44962487225229297</v>
      </c>
      <c r="D10" s="35">
        <v>4.2789288556053604</v>
      </c>
      <c r="E10" s="26">
        <f t="shared" si="1"/>
        <v>5.4496248722522926</v>
      </c>
      <c r="F10" s="2">
        <f t="shared" si="2"/>
        <v>0.7210711443946396</v>
      </c>
      <c r="G10" s="8">
        <v>100</v>
      </c>
      <c r="H10" s="9">
        <v>100000</v>
      </c>
      <c r="I10" s="9">
        <f t="shared" si="3"/>
        <v>5.5037512774770703E-3</v>
      </c>
      <c r="J10" s="9">
        <f t="shared" si="4"/>
        <v>4.2789288556053604E-5</v>
      </c>
      <c r="K10" s="5">
        <f t="shared" si="0"/>
        <v>128.62451008661205</v>
      </c>
      <c r="L10" s="58"/>
      <c r="M10" s="16">
        <f>L2/I10</f>
        <v>24074.489074793048</v>
      </c>
      <c r="N10" s="9">
        <f t="shared" si="5"/>
        <v>0.22015005109908281</v>
      </c>
      <c r="O10" s="5">
        <f t="shared" si="6"/>
        <v>584.25837034542451</v>
      </c>
      <c r="Z10" s="1" t="e">
        <f t="shared" si="7"/>
        <v>#DIV/0!</v>
      </c>
    </row>
    <row r="11" spans="1:26" x14ac:dyDescent="0.3">
      <c r="A11" s="8">
        <v>5</v>
      </c>
      <c r="B11" s="8">
        <v>-0.5</v>
      </c>
      <c r="C11" s="35">
        <v>4.8443650224504697E-2</v>
      </c>
      <c r="D11" s="35">
        <v>4.2789288574089701</v>
      </c>
      <c r="E11" s="26">
        <f t="shared" si="1"/>
        <v>4.9515563497754957</v>
      </c>
      <c r="F11" s="2">
        <f t="shared" si="2"/>
        <v>0.72107114259102989</v>
      </c>
      <c r="G11" s="8">
        <v>100</v>
      </c>
      <c r="H11" s="9">
        <v>100000</v>
      </c>
      <c r="I11" s="9">
        <f t="shared" si="3"/>
        <v>5.4844365022450473E-3</v>
      </c>
      <c r="J11" s="9">
        <f t="shared" si="4"/>
        <v>4.27892885740897E-5</v>
      </c>
      <c r="K11" s="5">
        <f t="shared" si="0"/>
        <v>128.17311726855985</v>
      </c>
      <c r="L11" s="58"/>
      <c r="M11" s="16">
        <f>L2/I11</f>
        <v>24159.273235411019</v>
      </c>
      <c r="N11" s="9">
        <f t="shared" si="5"/>
        <v>0.21937746008980188</v>
      </c>
      <c r="O11" s="5">
        <f t="shared" si="6"/>
        <v>584.25837009915404</v>
      </c>
      <c r="Z11" s="1" t="e">
        <f t="shared" si="7"/>
        <v>#DIV/0!</v>
      </c>
    </row>
    <row r="12" spans="1:26" x14ac:dyDescent="0.3">
      <c r="A12" s="21">
        <v>4.5</v>
      </c>
      <c r="B12" s="21">
        <v>-5</v>
      </c>
      <c r="C12" s="39">
        <v>-4.4993280630000001</v>
      </c>
      <c r="D12" s="39">
        <v>3.7835106459999999</v>
      </c>
      <c r="E12" s="27">
        <f>A12-C12</f>
        <v>8.9993280630000001</v>
      </c>
      <c r="F12" s="25">
        <f>A12-D12</f>
        <v>0.71648935400000013</v>
      </c>
      <c r="G12" s="21">
        <v>100</v>
      </c>
      <c r="H12" s="22">
        <v>100000</v>
      </c>
      <c r="I12" s="22">
        <f>(C12-B12)/G12</f>
        <v>5.0067193699999991E-3</v>
      </c>
      <c r="J12" s="22">
        <f>(D12-0)/H12</f>
        <v>3.7835106460000001E-5</v>
      </c>
      <c r="K12" s="23">
        <f t="shared" si="0"/>
        <v>132.32999292054851</v>
      </c>
      <c r="L12" s="56">
        <f>Z13</f>
        <v>156.66666666666666</v>
      </c>
      <c r="M12" s="24">
        <f>L12/I12</f>
        <v>31291.281793304643</v>
      </c>
      <c r="N12" s="22">
        <f t="shared" si="5"/>
        <v>0.20026877479999997</v>
      </c>
      <c r="O12" s="23">
        <f t="shared" si="6"/>
        <v>660.76198375258912</v>
      </c>
      <c r="Z12" s="1" t="e">
        <f t="shared" si="7"/>
        <v>#DIV/0!</v>
      </c>
    </row>
    <row r="13" spans="1:26" x14ac:dyDescent="0.3">
      <c r="A13" s="21">
        <v>4.5</v>
      </c>
      <c r="B13" s="21">
        <v>-4.5</v>
      </c>
      <c r="C13" s="39">
        <v>-4.001041506</v>
      </c>
      <c r="D13" s="39">
        <v>3.783510648</v>
      </c>
      <c r="E13" s="27">
        <f t="shared" ref="E13:E21" si="8">A13-C13</f>
        <v>8.501041506</v>
      </c>
      <c r="F13" s="25">
        <f t="shared" ref="F13:F21" si="9">A13-D13</f>
        <v>0.71648935199999997</v>
      </c>
      <c r="G13" s="21">
        <v>100</v>
      </c>
      <c r="H13" s="22">
        <v>100000</v>
      </c>
      <c r="I13" s="22">
        <f t="shared" ref="I13:I21" si="10">(C13-B13)/G13</f>
        <v>4.9895849400000006E-3</v>
      </c>
      <c r="J13" s="22">
        <f t="shared" ref="J13:J21" si="11">(D13-0)/H13</f>
        <v>3.7835106480000001E-5</v>
      </c>
      <c r="K13" s="23">
        <f t="shared" si="0"/>
        <v>131.87712165254624</v>
      </c>
      <c r="L13" s="59"/>
      <c r="M13" s="24">
        <f>L12/I13</f>
        <v>31398.737279872148</v>
      </c>
      <c r="N13" s="22">
        <f t="shared" si="5"/>
        <v>0.19958339760000002</v>
      </c>
      <c r="O13" s="23">
        <f t="shared" si="6"/>
        <v>660.76198340330404</v>
      </c>
      <c r="X13" s="38">
        <v>3.0000000000000001E-5</v>
      </c>
      <c r="Y13" s="37">
        <v>4.7000000000000002E-3</v>
      </c>
      <c r="Z13" s="37">
        <f t="shared" si="7"/>
        <v>156.66666666666666</v>
      </c>
    </row>
    <row r="14" spans="1:26" x14ac:dyDescent="0.3">
      <c r="A14" s="21">
        <v>4.5</v>
      </c>
      <c r="B14" s="21">
        <v>-4</v>
      </c>
      <c r="C14" s="39">
        <v>-3.5027549489999998</v>
      </c>
      <c r="D14" s="39">
        <v>3.7835106490000001</v>
      </c>
      <c r="E14" s="27">
        <f t="shared" si="8"/>
        <v>8.0027549489999998</v>
      </c>
      <c r="F14" s="25">
        <f t="shared" si="9"/>
        <v>0.71648935099999989</v>
      </c>
      <c r="G14" s="21">
        <v>100</v>
      </c>
      <c r="H14" s="22">
        <v>100000</v>
      </c>
      <c r="I14" s="22">
        <f t="shared" si="10"/>
        <v>4.9724505100000012E-3</v>
      </c>
      <c r="J14" s="22">
        <f t="shared" si="11"/>
        <v>3.7835106490000004E-5</v>
      </c>
      <c r="K14" s="23">
        <f t="shared" si="0"/>
        <v>131.42425041975878</v>
      </c>
      <c r="L14" s="59"/>
      <c r="M14" s="24">
        <f>L12/I14</f>
        <v>31506.93332223162</v>
      </c>
      <c r="N14" s="22">
        <f t="shared" si="5"/>
        <v>0.19889802040000004</v>
      </c>
      <c r="O14" s="23">
        <f t="shared" si="6"/>
        <v>660.76198322866139</v>
      </c>
      <c r="Z14" s="1" t="e">
        <f t="shared" si="7"/>
        <v>#DIV/0!</v>
      </c>
    </row>
    <row r="15" spans="1:26" x14ac:dyDescent="0.3">
      <c r="A15" s="21">
        <v>4.5</v>
      </c>
      <c r="B15" s="21">
        <v>-3.5</v>
      </c>
      <c r="C15" s="39">
        <v>-3.0044683920000002</v>
      </c>
      <c r="D15" s="39">
        <v>3.7835106509999998</v>
      </c>
      <c r="E15" s="27">
        <f t="shared" si="8"/>
        <v>7.5044683919999997</v>
      </c>
      <c r="F15" s="25">
        <f t="shared" si="9"/>
        <v>0.71648934900000016</v>
      </c>
      <c r="G15" s="21">
        <v>100</v>
      </c>
      <c r="H15" s="22">
        <v>100000</v>
      </c>
      <c r="I15" s="22">
        <f t="shared" si="10"/>
        <v>4.9553160799999984E-3</v>
      </c>
      <c r="J15" s="22">
        <f t="shared" si="11"/>
        <v>3.7835106509999997E-5</v>
      </c>
      <c r="K15" s="23">
        <f t="shared" si="0"/>
        <v>130.9713791525943</v>
      </c>
      <c r="L15" s="59"/>
      <c r="M15" s="24">
        <f>L12/I15</f>
        <v>31615.877602436758</v>
      </c>
      <c r="N15" s="22">
        <f t="shared" si="5"/>
        <v>0.19821264319999993</v>
      </c>
      <c r="O15" s="23">
        <f t="shared" si="6"/>
        <v>660.76198287937643</v>
      </c>
      <c r="Z15" s="1" t="e">
        <f t="shared" si="7"/>
        <v>#DIV/0!</v>
      </c>
    </row>
    <row r="16" spans="1:26" x14ac:dyDescent="0.3">
      <c r="A16" s="21">
        <v>4.5</v>
      </c>
      <c r="B16" s="21">
        <v>-3</v>
      </c>
      <c r="C16" s="39">
        <v>-2.506181835</v>
      </c>
      <c r="D16" s="39">
        <v>3.7835106519999999</v>
      </c>
      <c r="E16" s="27">
        <f t="shared" si="8"/>
        <v>7.0061818349999996</v>
      </c>
      <c r="F16" s="25">
        <f t="shared" si="9"/>
        <v>0.71648934800000008</v>
      </c>
      <c r="G16" s="21">
        <v>100</v>
      </c>
      <c r="H16" s="22">
        <v>100000</v>
      </c>
      <c r="I16" s="22">
        <f t="shared" si="10"/>
        <v>4.9381816499999998E-3</v>
      </c>
      <c r="J16" s="22">
        <f t="shared" si="11"/>
        <v>3.783510652E-5</v>
      </c>
      <c r="K16" s="23">
        <f t="shared" si="0"/>
        <v>130.51850792040534</v>
      </c>
      <c r="L16" s="59"/>
      <c r="M16" s="24">
        <f>L12/I16</f>
        <v>31725.577909161497</v>
      </c>
      <c r="N16" s="22">
        <f t="shared" si="5"/>
        <v>0.19752726599999998</v>
      </c>
      <c r="O16" s="23">
        <f t="shared" si="6"/>
        <v>660.76198270473378</v>
      </c>
      <c r="Z16" s="1" t="e">
        <f t="shared" si="7"/>
        <v>#DIV/0!</v>
      </c>
    </row>
    <row r="17" spans="1:26" x14ac:dyDescent="0.3">
      <c r="A17" s="21">
        <v>4.5</v>
      </c>
      <c r="B17" s="21">
        <v>-2.5</v>
      </c>
      <c r="C17" s="39">
        <v>-2.0078952769999998</v>
      </c>
      <c r="D17" s="39">
        <v>3.783510653</v>
      </c>
      <c r="E17" s="27">
        <f t="shared" si="8"/>
        <v>6.5078952769999994</v>
      </c>
      <c r="F17" s="25">
        <f t="shared" si="9"/>
        <v>0.716489347</v>
      </c>
      <c r="G17" s="21">
        <v>100</v>
      </c>
      <c r="H17" s="22">
        <v>100000</v>
      </c>
      <c r="I17" s="22">
        <f t="shared" si="10"/>
        <v>4.9210472300000021E-3</v>
      </c>
      <c r="J17" s="22">
        <f t="shared" si="11"/>
        <v>3.7835106529999997E-5</v>
      </c>
      <c r="K17" s="23">
        <f t="shared" si="0"/>
        <v>130.06563695276063</v>
      </c>
      <c r="L17" s="59"/>
      <c r="M17" s="24">
        <f>L12/I17</f>
        <v>31836.042074862711</v>
      </c>
      <c r="N17" s="22">
        <f t="shared" si="5"/>
        <v>0.19684188920000006</v>
      </c>
      <c r="O17" s="23">
        <f t="shared" si="6"/>
        <v>660.76198253009136</v>
      </c>
      <c r="Z17" s="1" t="e">
        <f t="shared" si="7"/>
        <v>#DIV/0!</v>
      </c>
    </row>
    <row r="18" spans="1:26" x14ac:dyDescent="0.3">
      <c r="A18" s="21">
        <v>4.5</v>
      </c>
      <c r="B18" s="21">
        <v>-2</v>
      </c>
      <c r="C18" s="39">
        <v>-1.509608719</v>
      </c>
      <c r="D18" s="39">
        <v>3.783510653</v>
      </c>
      <c r="E18" s="27">
        <f t="shared" si="8"/>
        <v>6.009608719</v>
      </c>
      <c r="F18" s="25">
        <f t="shared" si="9"/>
        <v>0.716489347</v>
      </c>
      <c r="G18" s="21">
        <v>100</v>
      </c>
      <c r="H18" s="22">
        <v>100000</v>
      </c>
      <c r="I18" s="22">
        <f t="shared" si="10"/>
        <v>4.9039128099999992E-3</v>
      </c>
      <c r="J18" s="22">
        <f t="shared" si="11"/>
        <v>3.7835106529999997E-5</v>
      </c>
      <c r="K18" s="23">
        <f t="shared" si="0"/>
        <v>129.61276601961242</v>
      </c>
      <c r="L18" s="59"/>
      <c r="M18" s="24">
        <f>L12/I18</f>
        <v>31947.278170850408</v>
      </c>
      <c r="N18" s="22">
        <f t="shared" si="5"/>
        <v>0.19615651239999995</v>
      </c>
      <c r="O18" s="23">
        <f t="shared" si="6"/>
        <v>660.76198253009136</v>
      </c>
      <c r="Z18" s="1" t="e">
        <f t="shared" si="7"/>
        <v>#DIV/0!</v>
      </c>
    </row>
    <row r="19" spans="1:26" x14ac:dyDescent="0.3">
      <c r="A19" s="21">
        <v>4.5</v>
      </c>
      <c r="B19" s="21">
        <v>-1.5</v>
      </c>
      <c r="C19" s="39">
        <v>-1.0113221610000001</v>
      </c>
      <c r="D19" s="39">
        <v>3.7835106540000001</v>
      </c>
      <c r="E19" s="27">
        <f t="shared" si="8"/>
        <v>5.5113221609999998</v>
      </c>
      <c r="F19" s="25">
        <f t="shared" si="9"/>
        <v>0.71648934599999992</v>
      </c>
      <c r="G19" s="21">
        <v>100</v>
      </c>
      <c r="H19" s="22">
        <v>100000</v>
      </c>
      <c r="I19" s="22">
        <f t="shared" si="10"/>
        <v>4.8867783899999998E-3</v>
      </c>
      <c r="J19" s="22">
        <f t="shared" si="11"/>
        <v>3.783510654E-5</v>
      </c>
      <c r="K19" s="23">
        <f t="shared" si="0"/>
        <v>129.1598950523267</v>
      </c>
      <c r="L19" s="59"/>
      <c r="M19" s="24">
        <f>L12/I19</f>
        <v>32059.294316938867</v>
      </c>
      <c r="N19" s="22">
        <f t="shared" si="5"/>
        <v>0.19547113559999998</v>
      </c>
      <c r="O19" s="23">
        <f t="shared" si="6"/>
        <v>660.76198235544871</v>
      </c>
      <c r="Z19" s="1" t="e">
        <f t="shared" si="7"/>
        <v>#DIV/0!</v>
      </c>
    </row>
    <row r="20" spans="1:26" x14ac:dyDescent="0.3">
      <c r="A20" s="21">
        <v>4.5</v>
      </c>
      <c r="B20" s="21">
        <v>-1</v>
      </c>
      <c r="C20" s="39">
        <v>-0.51303560199999998</v>
      </c>
      <c r="D20" s="39">
        <v>3.7835106540000001</v>
      </c>
      <c r="E20" s="27">
        <f t="shared" si="8"/>
        <v>5.0130356020000004</v>
      </c>
      <c r="F20" s="25">
        <f t="shared" si="9"/>
        <v>0.71648934599999992</v>
      </c>
      <c r="G20" s="21">
        <v>100</v>
      </c>
      <c r="H20" s="22">
        <v>100000</v>
      </c>
      <c r="I20" s="22">
        <f t="shared" si="10"/>
        <v>4.8696439800000003E-3</v>
      </c>
      <c r="J20" s="22">
        <f t="shared" si="11"/>
        <v>3.783510654E-5</v>
      </c>
      <c r="K20" s="23">
        <f t="shared" si="0"/>
        <v>128.70702438360308</v>
      </c>
      <c r="L20" s="59"/>
      <c r="M20" s="24">
        <f>L12/I20</f>
        <v>32172.098681157928</v>
      </c>
      <c r="N20" s="22">
        <f t="shared" si="5"/>
        <v>0.19478575919999999</v>
      </c>
      <c r="O20" s="23">
        <f t="shared" si="6"/>
        <v>660.76198235544871</v>
      </c>
      <c r="Z20" s="1" t="e">
        <f t="shared" si="7"/>
        <v>#DIV/0!</v>
      </c>
    </row>
    <row r="21" spans="1:26" x14ac:dyDescent="0.3">
      <c r="A21" s="21">
        <v>4.5</v>
      </c>
      <c r="B21" s="21">
        <v>-0.5</v>
      </c>
      <c r="C21" s="39">
        <v>-1.4749053E-2</v>
      </c>
      <c r="D21" s="39">
        <v>3.7835106619999999</v>
      </c>
      <c r="E21" s="27">
        <f t="shared" si="8"/>
        <v>4.5147490530000001</v>
      </c>
      <c r="F21" s="25">
        <f t="shared" si="9"/>
        <v>0.71648933800000014</v>
      </c>
      <c r="G21" s="21">
        <v>100</v>
      </c>
      <c r="H21" s="22">
        <v>100000</v>
      </c>
      <c r="I21" s="22">
        <f t="shared" si="10"/>
        <v>4.8525094699999995E-3</v>
      </c>
      <c r="J21" s="22">
        <f t="shared" si="11"/>
        <v>3.7835106619999999E-5</v>
      </c>
      <c r="K21" s="23">
        <f t="shared" si="0"/>
        <v>128.25415080064599</v>
      </c>
      <c r="L21" s="59"/>
      <c r="M21" s="24">
        <f>L12/I21</f>
        <v>32285.700344375975</v>
      </c>
      <c r="N21" s="22">
        <f t="shared" si="5"/>
        <v>0.19410037879999997</v>
      </c>
      <c r="O21" s="23">
        <f t="shared" si="6"/>
        <v>660.7619809583083</v>
      </c>
      <c r="Z21" s="1" t="e">
        <f t="shared" si="7"/>
        <v>#DIV/0!</v>
      </c>
    </row>
    <row r="22" spans="1:26" x14ac:dyDescent="0.3">
      <c r="A22" s="10">
        <v>4</v>
      </c>
      <c r="B22" s="10">
        <v>-5</v>
      </c>
      <c r="C22" s="40">
        <v>-4.5648615350000004</v>
      </c>
      <c r="D22" s="40">
        <v>3.2887327339999999</v>
      </c>
      <c r="E22" s="28">
        <f>A22-C22</f>
        <v>8.5648615350000004</v>
      </c>
      <c r="F22" s="3">
        <f>A22-D22</f>
        <v>0.71126726600000012</v>
      </c>
      <c r="G22" s="10">
        <v>100</v>
      </c>
      <c r="H22" s="11">
        <v>100000</v>
      </c>
      <c r="I22" s="11">
        <f>(C22-B22)/G22</f>
        <v>4.3513846499999963E-3</v>
      </c>
      <c r="J22" s="11">
        <f>(D22-0)/H22</f>
        <v>3.2887327340000001E-5</v>
      </c>
      <c r="K22" s="6">
        <f t="shared" si="0"/>
        <v>132.31189646437218</v>
      </c>
      <c r="L22" s="52">
        <f>Z22</f>
        <v>136.66666666666669</v>
      </c>
      <c r="M22" s="17">
        <f>L22/I22</f>
        <v>31407.62714844499</v>
      </c>
      <c r="N22" s="11">
        <f t="shared" si="5"/>
        <v>0.17405538599999984</v>
      </c>
      <c r="O22" s="6">
        <f t="shared" si="6"/>
        <v>760.17122770548622</v>
      </c>
      <c r="X22" s="38">
        <v>3.0000000000000001E-5</v>
      </c>
      <c r="Y22" s="37">
        <v>4.1000000000000003E-3</v>
      </c>
      <c r="Z22" s="37">
        <f t="shared" si="7"/>
        <v>136.66666666666669</v>
      </c>
    </row>
    <row r="23" spans="1:26" x14ac:dyDescent="0.3">
      <c r="A23" s="10">
        <v>4</v>
      </c>
      <c r="B23" s="10">
        <v>-4.5</v>
      </c>
      <c r="C23" s="40">
        <v>-4.0663543449999997</v>
      </c>
      <c r="D23" s="40">
        <v>3.2887327370000001</v>
      </c>
      <c r="E23" s="28">
        <f t="shared" ref="E23:E31" si="12">A23-C23</f>
        <v>8.0663543450000006</v>
      </c>
      <c r="F23" s="3">
        <f t="shared" ref="F23:F31" si="13">A23-D23</f>
        <v>0.71126726299999987</v>
      </c>
      <c r="G23" s="10">
        <v>100</v>
      </c>
      <c r="H23" s="11">
        <v>100000</v>
      </c>
      <c r="I23" s="11">
        <f t="shared" ref="I23:I31" si="14">(C23-B23)/G23</f>
        <v>4.3364565500000028E-3</v>
      </c>
      <c r="J23" s="11">
        <f t="shared" ref="J23:J31" si="15">(D23-0)/H23</f>
        <v>3.2887327370000004E-5</v>
      </c>
      <c r="K23" s="6">
        <f t="shared" si="0"/>
        <v>131.85797985991837</v>
      </c>
      <c r="L23" s="57"/>
      <c r="M23" s="17">
        <f>L22/I23</f>
        <v>31515.746806379644</v>
      </c>
      <c r="N23" s="11">
        <f t="shared" si="5"/>
        <v>0.17345826200000011</v>
      </c>
      <c r="O23" s="6">
        <f t="shared" si="6"/>
        <v>760.17122701205381</v>
      </c>
      <c r="Z23" s="1" t="e">
        <f t="shared" si="7"/>
        <v>#DIV/0!</v>
      </c>
    </row>
    <row r="24" spans="1:26" x14ac:dyDescent="0.3">
      <c r="A24" s="10">
        <v>4</v>
      </c>
      <c r="B24" s="10">
        <v>-4</v>
      </c>
      <c r="C24" s="40">
        <v>-3.5678471539999999</v>
      </c>
      <c r="D24" s="40">
        <v>3.2887327370000001</v>
      </c>
      <c r="E24" s="28">
        <f t="shared" si="12"/>
        <v>7.5678471539999999</v>
      </c>
      <c r="F24" s="3">
        <f t="shared" si="13"/>
        <v>0.71126726299999987</v>
      </c>
      <c r="G24" s="10">
        <v>100</v>
      </c>
      <c r="H24" s="11">
        <v>100000</v>
      </c>
      <c r="I24" s="11">
        <f t="shared" si="14"/>
        <v>4.3215284600000015E-3</v>
      </c>
      <c r="J24" s="11">
        <f t="shared" si="15"/>
        <v>3.2887327370000004E-5</v>
      </c>
      <c r="K24" s="6">
        <f t="shared" si="0"/>
        <v>131.40406368022849</v>
      </c>
      <c r="L24" s="57"/>
      <c r="M24" s="17">
        <f>L22/I24</f>
        <v>31624.6133588269</v>
      </c>
      <c r="N24" s="11">
        <f t="shared" si="5"/>
        <v>0.17286113840000006</v>
      </c>
      <c r="O24" s="6">
        <f t="shared" si="6"/>
        <v>760.17122701205381</v>
      </c>
      <c r="Z24" s="1" t="e">
        <f t="shared" si="7"/>
        <v>#DIV/0!</v>
      </c>
    </row>
    <row r="25" spans="1:26" x14ac:dyDescent="0.3">
      <c r="A25" s="10">
        <v>4</v>
      </c>
      <c r="B25" s="10">
        <v>-3.5</v>
      </c>
      <c r="C25" s="40">
        <v>-3.0693399600000002</v>
      </c>
      <c r="D25" s="40">
        <v>3.288732735</v>
      </c>
      <c r="E25" s="28">
        <f t="shared" si="12"/>
        <v>7.0693399600000006</v>
      </c>
      <c r="F25" s="3">
        <f t="shared" si="13"/>
        <v>0.71126726500000004</v>
      </c>
      <c r="G25" s="10">
        <v>100</v>
      </c>
      <c r="H25" s="11">
        <v>100000</v>
      </c>
      <c r="I25" s="11">
        <f t="shared" si="14"/>
        <v>4.3066003999999982E-3</v>
      </c>
      <c r="J25" s="11">
        <f t="shared" si="15"/>
        <v>3.2887327349999997E-5</v>
      </c>
      <c r="K25" s="6">
        <f t="shared" si="0"/>
        <v>130.95014849237964</v>
      </c>
      <c r="L25" s="57"/>
      <c r="M25" s="17">
        <f>L22/I25</f>
        <v>31734.23442459782</v>
      </c>
      <c r="N25" s="11">
        <f t="shared" si="5"/>
        <v>0.17226401599999991</v>
      </c>
      <c r="O25" s="6">
        <f t="shared" si="6"/>
        <v>760.17122747434212</v>
      </c>
      <c r="Z25" s="1" t="e">
        <f t="shared" si="7"/>
        <v>#DIV/0!</v>
      </c>
    </row>
    <row r="26" spans="1:26" x14ac:dyDescent="0.3">
      <c r="A26" s="10">
        <v>4</v>
      </c>
      <c r="B26" s="10">
        <v>-3</v>
      </c>
      <c r="C26" s="40">
        <v>-2.570832765</v>
      </c>
      <c r="D26" s="40">
        <v>3.2887327310000001</v>
      </c>
      <c r="E26" s="28">
        <f t="shared" si="12"/>
        <v>6.5708327650000005</v>
      </c>
      <c r="F26" s="3">
        <f t="shared" si="13"/>
        <v>0.71126726899999992</v>
      </c>
      <c r="G26" s="10">
        <v>100</v>
      </c>
      <c r="H26" s="11">
        <v>100000</v>
      </c>
      <c r="I26" s="11">
        <f t="shared" si="14"/>
        <v>4.2916723500000002E-3</v>
      </c>
      <c r="J26" s="11">
        <f t="shared" si="15"/>
        <v>3.2887327309999998E-5</v>
      </c>
      <c r="K26" s="6">
        <f t="shared" si="0"/>
        <v>130.49623368740694</v>
      </c>
      <c r="L26" s="57"/>
      <c r="M26" s="17">
        <f>L22/I26</f>
        <v>31844.618023243707</v>
      </c>
      <c r="N26" s="11">
        <f t="shared" si="5"/>
        <v>0.17166689399999999</v>
      </c>
      <c r="O26" s="6">
        <f t="shared" si="6"/>
        <v>760.17122839891863</v>
      </c>
      <c r="Z26" s="1" t="e">
        <f t="shared" si="7"/>
        <v>#DIV/0!</v>
      </c>
    </row>
    <row r="27" spans="1:26" x14ac:dyDescent="0.3">
      <c r="A27" s="10">
        <v>4</v>
      </c>
      <c r="B27" s="10">
        <v>-2.5</v>
      </c>
      <c r="C27" s="40">
        <v>-2.0723255680000001</v>
      </c>
      <c r="D27" s="40">
        <v>3.288732725</v>
      </c>
      <c r="E27" s="28">
        <f t="shared" si="12"/>
        <v>6.0723255680000001</v>
      </c>
      <c r="F27" s="3">
        <f t="shared" si="13"/>
        <v>0.71126727499999998</v>
      </c>
      <c r="G27" s="10">
        <v>100</v>
      </c>
      <c r="H27" s="11">
        <v>100000</v>
      </c>
      <c r="I27" s="11">
        <f t="shared" si="14"/>
        <v>4.2767443199999986E-3</v>
      </c>
      <c r="J27" s="11">
        <f t="shared" si="15"/>
        <v>3.2887327249999999E-5</v>
      </c>
      <c r="K27" s="6">
        <f t="shared" si="0"/>
        <v>130.04231956855048</v>
      </c>
      <c r="L27" s="57"/>
      <c r="M27" s="17">
        <f>L22/I27</f>
        <v>31955.772064173041</v>
      </c>
      <c r="N27" s="11">
        <f t="shared" si="5"/>
        <v>0.17106977279999994</v>
      </c>
      <c r="O27" s="6">
        <f t="shared" si="6"/>
        <v>760.17122978578334</v>
      </c>
      <c r="Z27" s="1" t="e">
        <f t="shared" si="7"/>
        <v>#DIV/0!</v>
      </c>
    </row>
    <row r="28" spans="1:26" x14ac:dyDescent="0.3">
      <c r="A28" s="10">
        <v>4</v>
      </c>
      <c r="B28" s="10">
        <v>-2</v>
      </c>
      <c r="C28" s="40">
        <v>-1.573818393</v>
      </c>
      <c r="D28" s="40">
        <v>3.2887327449999999</v>
      </c>
      <c r="E28" s="28">
        <f t="shared" si="12"/>
        <v>5.5738183929999998</v>
      </c>
      <c r="F28" s="3">
        <f t="shared" si="13"/>
        <v>0.7112672550000001</v>
      </c>
      <c r="G28" s="10">
        <v>100</v>
      </c>
      <c r="H28" s="11">
        <v>100000</v>
      </c>
      <c r="I28" s="11">
        <f t="shared" si="14"/>
        <v>4.2618160699999996E-3</v>
      </c>
      <c r="J28" s="11">
        <f t="shared" si="15"/>
        <v>3.2887327450000002E-5</v>
      </c>
      <c r="K28" s="6">
        <f t="shared" si="0"/>
        <v>129.58839773403355</v>
      </c>
      <c r="L28" s="57"/>
      <c r="M28" s="17">
        <f>L22/I28</f>
        <v>32067.706447656878</v>
      </c>
      <c r="N28" s="11">
        <f t="shared" si="5"/>
        <v>0.17047264279999996</v>
      </c>
      <c r="O28" s="6">
        <f t="shared" si="6"/>
        <v>760.1712251629009</v>
      </c>
      <c r="Z28" s="1" t="e">
        <f t="shared" si="7"/>
        <v>#DIV/0!</v>
      </c>
    </row>
    <row r="29" spans="1:26" x14ac:dyDescent="0.3">
      <c r="A29" s="10">
        <v>4</v>
      </c>
      <c r="B29" s="10">
        <v>-1.5</v>
      </c>
      <c r="C29" s="40">
        <v>-1.0753111870000001</v>
      </c>
      <c r="D29" s="40">
        <v>3.2887327279999998</v>
      </c>
      <c r="E29" s="28">
        <f t="shared" si="12"/>
        <v>5.0753111870000005</v>
      </c>
      <c r="F29" s="3">
        <f t="shared" si="13"/>
        <v>0.71126727200000017</v>
      </c>
      <c r="G29" s="10">
        <v>100</v>
      </c>
      <c r="H29" s="11">
        <v>100000</v>
      </c>
      <c r="I29" s="11">
        <f t="shared" si="14"/>
        <v>4.2468881299999994E-3</v>
      </c>
      <c r="J29" s="11">
        <f t="shared" si="15"/>
        <v>3.2887327279999995E-5</v>
      </c>
      <c r="K29" s="6">
        <f t="shared" si="0"/>
        <v>129.13448678399263</v>
      </c>
      <c r="L29" s="57"/>
      <c r="M29" s="17">
        <f>L22/I29</f>
        <v>32180.425404016165</v>
      </c>
      <c r="N29" s="11">
        <f t="shared" si="5"/>
        <v>0.16987552519999996</v>
      </c>
      <c r="O29" s="6">
        <f t="shared" si="6"/>
        <v>760.17122909235104</v>
      </c>
      <c r="Z29" s="1" t="e">
        <f t="shared" si="7"/>
        <v>#DIV/0!</v>
      </c>
    </row>
    <row r="30" spans="1:26" x14ac:dyDescent="0.3">
      <c r="A30" s="10">
        <v>4</v>
      </c>
      <c r="B30" s="10">
        <v>-1</v>
      </c>
      <c r="C30" s="40">
        <v>-0.57680401199999998</v>
      </c>
      <c r="D30" s="40">
        <v>3.2887327480000002</v>
      </c>
      <c r="E30" s="28">
        <f t="shared" si="12"/>
        <v>4.5768040120000002</v>
      </c>
      <c r="F30" s="3">
        <f t="shared" si="13"/>
        <v>0.71126725199999985</v>
      </c>
      <c r="G30" s="10">
        <v>100</v>
      </c>
      <c r="H30" s="11">
        <v>100000</v>
      </c>
      <c r="I30" s="11">
        <f t="shared" si="14"/>
        <v>4.2319598800000004E-3</v>
      </c>
      <c r="J30" s="11">
        <f t="shared" si="15"/>
        <v>3.2887327479999998E-5</v>
      </c>
      <c r="K30" s="6">
        <f t="shared" si="0"/>
        <v>128.68056495541063</v>
      </c>
      <c r="L30" s="57"/>
      <c r="M30" s="17">
        <f>L22/I30</f>
        <v>32293.941942253638</v>
      </c>
      <c r="N30" s="11">
        <f t="shared" si="5"/>
        <v>0.16927839520000001</v>
      </c>
      <c r="O30" s="6">
        <f t="shared" si="6"/>
        <v>760.1712244694686</v>
      </c>
      <c r="Z30" s="1" t="e">
        <f t="shared" si="7"/>
        <v>#DIV/0!</v>
      </c>
    </row>
    <row r="31" spans="1:26" x14ac:dyDescent="0.3">
      <c r="A31" s="10">
        <v>4</v>
      </c>
      <c r="B31" s="10">
        <v>-0.5</v>
      </c>
      <c r="C31" s="40">
        <v>-7.8296805999999997E-2</v>
      </c>
      <c r="D31" s="40">
        <v>3.2887327310000001</v>
      </c>
      <c r="E31" s="28">
        <f t="shared" si="12"/>
        <v>4.078296806</v>
      </c>
      <c r="F31" s="3">
        <f t="shared" si="13"/>
        <v>0.71126726899999992</v>
      </c>
      <c r="G31" s="10">
        <v>100</v>
      </c>
      <c r="H31" s="11">
        <v>100000</v>
      </c>
      <c r="I31" s="11">
        <f t="shared" si="14"/>
        <v>4.2170319400000001E-3</v>
      </c>
      <c r="J31" s="11">
        <f t="shared" si="15"/>
        <v>3.2887327309999998E-5</v>
      </c>
      <c r="K31" s="6">
        <f t="shared" si="0"/>
        <v>128.22665400109099</v>
      </c>
      <c r="L31" s="57"/>
      <c r="M31" s="17">
        <f>L22/I31</f>
        <v>32408.259792944958</v>
      </c>
      <c r="N31" s="11">
        <f t="shared" si="5"/>
        <v>0.16868127759999998</v>
      </c>
      <c r="O31" s="6">
        <f t="shared" si="6"/>
        <v>760.17122839891863</v>
      </c>
      <c r="Z31" s="1" t="e">
        <f t="shared" si="7"/>
        <v>#DIV/0!</v>
      </c>
    </row>
    <row r="32" spans="1:26" x14ac:dyDescent="0.3">
      <c r="A32" s="12">
        <v>3.5</v>
      </c>
      <c r="B32" s="12">
        <v>-5</v>
      </c>
      <c r="C32" s="41">
        <v>-4.6307225550000002</v>
      </c>
      <c r="D32" s="41">
        <v>2.7948024299999998</v>
      </c>
      <c r="E32" s="29">
        <f>A32-C32</f>
        <v>8.1307225550000002</v>
      </c>
      <c r="F32" s="4">
        <f>A32-D32</f>
        <v>0.70519757000000016</v>
      </c>
      <c r="G32" s="12">
        <v>100</v>
      </c>
      <c r="H32" s="13">
        <v>100000</v>
      </c>
      <c r="I32" s="13">
        <f>(C32-B32)/G32</f>
        <v>3.692774449999998E-3</v>
      </c>
      <c r="J32" s="13">
        <f>(D32-0)/H32</f>
        <v>2.7948024299999998E-5</v>
      </c>
      <c r="K32" s="7">
        <f t="shared" si="0"/>
        <v>132.13007153425147</v>
      </c>
      <c r="L32" s="54">
        <f>Z33</f>
        <v>116.66666666666667</v>
      </c>
      <c r="M32" s="18">
        <f>L32/I32</f>
        <v>31593.228410326206</v>
      </c>
      <c r="N32" s="13">
        <f t="shared" si="5"/>
        <v>0.14771097799999991</v>
      </c>
      <c r="O32" s="7">
        <f t="shared" si="6"/>
        <v>894.51761354021733</v>
      </c>
      <c r="Z32" s="1" t="e">
        <f t="shared" si="7"/>
        <v>#DIV/0!</v>
      </c>
    </row>
    <row r="33" spans="1:26" x14ac:dyDescent="0.3">
      <c r="A33" s="12">
        <v>3.5</v>
      </c>
      <c r="B33" s="12">
        <v>-4.5</v>
      </c>
      <c r="C33" s="41">
        <v>-4.1319923230000004</v>
      </c>
      <c r="D33" s="41">
        <v>2.7948024409999999</v>
      </c>
      <c r="E33" s="29">
        <f t="shared" ref="E33:E41" si="16">A33-C33</f>
        <v>7.6319923230000004</v>
      </c>
      <c r="F33" s="4">
        <f t="shared" ref="F33:F41" si="17">A33-D33</f>
        <v>0.70519755900000014</v>
      </c>
      <c r="G33" s="12">
        <v>100</v>
      </c>
      <c r="H33" s="13">
        <v>100000</v>
      </c>
      <c r="I33" s="13">
        <f t="shared" ref="I33:I41" si="18">(C33-B33)/G33</f>
        <v>3.6800767699999961E-3</v>
      </c>
      <c r="J33" s="13">
        <f t="shared" ref="J33:J41" si="19">(D33-0)/H33</f>
        <v>2.7948024409999999E-5</v>
      </c>
      <c r="K33" s="7">
        <f t="shared" si="0"/>
        <v>131.67573907954792</v>
      </c>
      <c r="L33" s="60"/>
      <c r="M33" s="18">
        <f>L32/I33</f>
        <v>31702.237197260099</v>
      </c>
      <c r="N33" s="13">
        <f t="shared" si="5"/>
        <v>0.14720307079999984</v>
      </c>
      <c r="O33" s="7">
        <f t="shared" si="6"/>
        <v>894.51761001950558</v>
      </c>
      <c r="X33" s="38">
        <v>3.0000000000000001E-5</v>
      </c>
      <c r="Y33" s="37">
        <v>3.5000000000000001E-3</v>
      </c>
      <c r="Z33" s="37">
        <f t="shared" si="7"/>
        <v>116.66666666666667</v>
      </c>
    </row>
    <row r="34" spans="1:26" x14ac:dyDescent="0.3">
      <c r="A34" s="12">
        <v>3.5</v>
      </c>
      <c r="B34" s="12">
        <v>-4</v>
      </c>
      <c r="C34" s="41">
        <v>-3.6332620809999998</v>
      </c>
      <c r="D34" s="41">
        <v>2.794802432</v>
      </c>
      <c r="E34" s="29">
        <f t="shared" si="16"/>
        <v>7.1332620809999998</v>
      </c>
      <c r="F34" s="4">
        <f t="shared" si="17"/>
        <v>0.705197568</v>
      </c>
      <c r="G34" s="12">
        <v>100</v>
      </c>
      <c r="H34" s="13">
        <v>100000</v>
      </c>
      <c r="I34" s="13">
        <f t="shared" si="18"/>
        <v>3.667379190000002E-3</v>
      </c>
      <c r="J34" s="13">
        <f t="shared" si="19"/>
        <v>2.7948024320000001E-5</v>
      </c>
      <c r="K34" s="7">
        <f t="shared" si="0"/>
        <v>131.22141114553037</v>
      </c>
      <c r="L34" s="60"/>
      <c r="M34" s="18">
        <f>L32/I34</f>
        <v>31811.999965748459</v>
      </c>
      <c r="N34" s="13">
        <f t="shared" si="5"/>
        <v>0.14669516760000006</v>
      </c>
      <c r="O34" s="7">
        <f t="shared" si="6"/>
        <v>894.51761290008778</v>
      </c>
      <c r="Z34" s="1" t="e">
        <f t="shared" si="7"/>
        <v>#DIV/0!</v>
      </c>
    </row>
    <row r="35" spans="1:26" x14ac:dyDescent="0.3">
      <c r="A35" s="12">
        <v>3.5</v>
      </c>
      <c r="B35" s="12">
        <v>-3.5</v>
      </c>
      <c r="C35" s="41">
        <v>-3.134531849</v>
      </c>
      <c r="D35" s="41">
        <v>2.7948024440000001</v>
      </c>
      <c r="E35" s="29">
        <f t="shared" si="16"/>
        <v>6.634531849</v>
      </c>
      <c r="F35" s="4">
        <f t="shared" si="17"/>
        <v>0.70519755599999989</v>
      </c>
      <c r="G35" s="12">
        <v>100</v>
      </c>
      <c r="H35" s="13">
        <v>100000</v>
      </c>
      <c r="I35" s="13">
        <f t="shared" si="18"/>
        <v>3.6546815099999996E-3</v>
      </c>
      <c r="J35" s="13">
        <f t="shared" si="19"/>
        <v>2.7948024440000002E-5</v>
      </c>
      <c r="K35" s="7">
        <f t="shared" si="0"/>
        <v>130.76707864793892</v>
      </c>
      <c r="L35" s="60"/>
      <c r="M35" s="18">
        <f>L32/I35</f>
        <v>31922.526312468384</v>
      </c>
      <c r="N35" s="13">
        <f t="shared" si="5"/>
        <v>0.14618726039999996</v>
      </c>
      <c r="O35" s="7">
        <f t="shared" si="6"/>
        <v>894.51760905931133</v>
      </c>
      <c r="Z35" s="1" t="e">
        <f t="shared" si="7"/>
        <v>#DIV/0!</v>
      </c>
    </row>
    <row r="36" spans="1:26" x14ac:dyDescent="0.3">
      <c r="A36" s="12">
        <v>3.5</v>
      </c>
      <c r="B36" s="12">
        <v>-3</v>
      </c>
      <c r="C36" s="41">
        <v>-2.6358016059999998</v>
      </c>
      <c r="D36" s="41">
        <v>2.7948024349999998</v>
      </c>
      <c r="E36" s="29">
        <f t="shared" si="16"/>
        <v>6.1358016059999994</v>
      </c>
      <c r="F36" s="4">
        <f t="shared" si="17"/>
        <v>0.70519756500000019</v>
      </c>
      <c r="G36" s="12">
        <v>100</v>
      </c>
      <c r="H36" s="13">
        <v>100000</v>
      </c>
      <c r="I36" s="13">
        <f t="shared" si="18"/>
        <v>3.641983940000002E-3</v>
      </c>
      <c r="J36" s="13">
        <f t="shared" si="19"/>
        <v>2.7948024349999997E-5</v>
      </c>
      <c r="K36" s="7">
        <f t="shared" si="0"/>
        <v>130.3127510692899</v>
      </c>
      <c r="L36" s="60"/>
      <c r="M36" s="18">
        <f>L32/I36</f>
        <v>32033.822386011569</v>
      </c>
      <c r="N36" s="13">
        <f t="shared" si="5"/>
        <v>0.14567935760000006</v>
      </c>
      <c r="O36" s="7">
        <f t="shared" si="6"/>
        <v>894.51761193989387</v>
      </c>
      <c r="Z36" s="1" t="e">
        <f t="shared" si="7"/>
        <v>#DIV/0!</v>
      </c>
    </row>
    <row r="37" spans="1:26" x14ac:dyDescent="0.3">
      <c r="A37" s="12">
        <v>3.5</v>
      </c>
      <c r="B37" s="12">
        <v>-2.5</v>
      </c>
      <c r="C37" s="41">
        <v>-2.137071374</v>
      </c>
      <c r="D37" s="41">
        <v>2.7948024469999999</v>
      </c>
      <c r="E37" s="29">
        <f t="shared" si="16"/>
        <v>5.6370713739999996</v>
      </c>
      <c r="F37" s="4">
        <f t="shared" si="17"/>
        <v>0.70519755300000009</v>
      </c>
      <c r="G37" s="12">
        <v>100</v>
      </c>
      <c r="H37" s="13">
        <v>100000</v>
      </c>
      <c r="I37" s="13">
        <f t="shared" si="18"/>
        <v>3.6292862599999996E-3</v>
      </c>
      <c r="J37" s="13">
        <f t="shared" si="19"/>
        <v>2.7948024469999998E-5</v>
      </c>
      <c r="K37" s="7">
        <f t="shared" si="0"/>
        <v>129.85841857608764</v>
      </c>
      <c r="L37" s="60"/>
      <c r="M37" s="18">
        <f>L32/I37</f>
        <v>32145.898203870722</v>
      </c>
      <c r="N37" s="13">
        <f t="shared" si="5"/>
        <v>0.14517145039999999</v>
      </c>
      <c r="O37" s="7">
        <f t="shared" si="6"/>
        <v>894.51760809911741</v>
      </c>
      <c r="Z37" s="1" t="e">
        <f t="shared" si="7"/>
        <v>#DIV/0!</v>
      </c>
    </row>
    <row r="38" spans="1:26" x14ac:dyDescent="0.3">
      <c r="A38" s="12">
        <v>3.5</v>
      </c>
      <c r="B38" s="12">
        <v>-2</v>
      </c>
      <c r="C38" s="41">
        <v>-1.6383411320000001</v>
      </c>
      <c r="D38" s="41">
        <v>2.7948024380000001</v>
      </c>
      <c r="E38" s="29">
        <f t="shared" si="16"/>
        <v>5.1383411319999999</v>
      </c>
      <c r="F38" s="4">
        <f t="shared" si="17"/>
        <v>0.70519756199999994</v>
      </c>
      <c r="G38" s="12">
        <v>100</v>
      </c>
      <c r="H38" s="13">
        <v>100000</v>
      </c>
      <c r="I38" s="13">
        <f t="shared" si="18"/>
        <v>3.616588679999999E-3</v>
      </c>
      <c r="J38" s="13">
        <f t="shared" si="19"/>
        <v>2.794802438E-5</v>
      </c>
      <c r="K38" s="7">
        <f t="shared" si="0"/>
        <v>129.40409063719298</v>
      </c>
      <c r="L38" s="60"/>
      <c r="M38" s="18">
        <f>L32/I38</f>
        <v>32258.760116084504</v>
      </c>
      <c r="N38" s="13">
        <f t="shared" si="5"/>
        <v>0.14466354719999996</v>
      </c>
      <c r="O38" s="7">
        <f t="shared" si="6"/>
        <v>894.51761097969961</v>
      </c>
      <c r="Z38" s="1" t="e">
        <f t="shared" si="7"/>
        <v>#DIV/0!</v>
      </c>
    </row>
    <row r="39" spans="1:26" x14ac:dyDescent="0.3">
      <c r="A39" s="12">
        <v>3.5</v>
      </c>
      <c r="B39" s="12">
        <v>-1.5</v>
      </c>
      <c r="C39" s="41">
        <v>-1.1396109000000001</v>
      </c>
      <c r="D39" s="41">
        <v>2.7948024500000002</v>
      </c>
      <c r="E39" s="29">
        <f t="shared" si="16"/>
        <v>4.6396109000000001</v>
      </c>
      <c r="F39" s="4">
        <f t="shared" si="17"/>
        <v>0.70519754999999984</v>
      </c>
      <c r="G39" s="12">
        <v>100</v>
      </c>
      <c r="H39" s="13">
        <v>100000</v>
      </c>
      <c r="I39" s="13">
        <f t="shared" si="18"/>
        <v>3.6038909999999993E-3</v>
      </c>
      <c r="J39" s="13">
        <f t="shared" si="19"/>
        <v>2.7948024500000001E-5</v>
      </c>
      <c r="K39" s="7">
        <f t="shared" si="0"/>
        <v>128.94975814838</v>
      </c>
      <c r="L39" s="60"/>
      <c r="M39" s="18">
        <f>L32/I39</f>
        <v>32372.418218716019</v>
      </c>
      <c r="N39" s="13">
        <f t="shared" si="5"/>
        <v>0.14415563999999997</v>
      </c>
      <c r="O39" s="7">
        <f t="shared" si="6"/>
        <v>894.51760713892315</v>
      </c>
      <c r="Z39" s="1" t="e">
        <f t="shared" si="7"/>
        <v>#DIV/0!</v>
      </c>
    </row>
    <row r="40" spans="1:26" x14ac:dyDescent="0.3">
      <c r="A40" s="12">
        <v>3.5</v>
      </c>
      <c r="B40" s="12">
        <v>-1</v>
      </c>
      <c r="C40" s="41">
        <v>-0.64088065699999996</v>
      </c>
      <c r="D40" s="41">
        <v>2.7948024409999999</v>
      </c>
      <c r="E40" s="29">
        <f t="shared" si="16"/>
        <v>4.1408806570000003</v>
      </c>
      <c r="F40" s="4">
        <f t="shared" si="17"/>
        <v>0.70519755900000014</v>
      </c>
      <c r="G40" s="12">
        <v>100</v>
      </c>
      <c r="H40" s="13">
        <v>100000</v>
      </c>
      <c r="I40" s="13">
        <f t="shared" si="18"/>
        <v>3.5911934300000004E-3</v>
      </c>
      <c r="J40" s="13">
        <f t="shared" si="19"/>
        <v>2.7948024409999999E-5</v>
      </c>
      <c r="K40" s="7">
        <f t="shared" si="0"/>
        <v>128.49543056485402</v>
      </c>
      <c r="L40" s="60"/>
      <c r="M40" s="18">
        <f>L32/I40</f>
        <v>32486.879067014404</v>
      </c>
      <c r="N40" s="13">
        <f t="shared" si="5"/>
        <v>0.14364773720000001</v>
      </c>
      <c r="O40" s="7">
        <f t="shared" si="6"/>
        <v>894.51761001950558</v>
      </c>
      <c r="Z40" s="1" t="e">
        <f t="shared" si="7"/>
        <v>#DIV/0!</v>
      </c>
    </row>
    <row r="41" spans="1:26" x14ac:dyDescent="0.3">
      <c r="A41" s="12">
        <v>3.5</v>
      </c>
      <c r="B41" s="12">
        <v>-0.5</v>
      </c>
      <c r="C41" s="41">
        <v>-0.142150426</v>
      </c>
      <c r="D41" s="41">
        <v>2.794802453</v>
      </c>
      <c r="E41" s="29">
        <f t="shared" si="16"/>
        <v>3.6421504260000002</v>
      </c>
      <c r="F41" s="4">
        <f t="shared" si="17"/>
        <v>0.70519754700000004</v>
      </c>
      <c r="G41" s="12">
        <v>100</v>
      </c>
      <c r="H41" s="13">
        <v>100000</v>
      </c>
      <c r="I41" s="13">
        <f t="shared" si="18"/>
        <v>3.5784957400000002E-3</v>
      </c>
      <c r="J41" s="13">
        <f t="shared" si="19"/>
        <v>2.7948024530000001E-5</v>
      </c>
      <c r="K41" s="7">
        <f t="shared" si="0"/>
        <v>128.04109772262319</v>
      </c>
      <c r="L41" s="60"/>
      <c r="M41" s="18">
        <f>L32/I41</f>
        <v>32602.153290998933</v>
      </c>
      <c r="N41" s="13">
        <f t="shared" si="5"/>
        <v>0.14313982959999999</v>
      </c>
      <c r="O41" s="7">
        <f t="shared" si="6"/>
        <v>894.51760617872912</v>
      </c>
      <c r="Z41" s="1" t="e">
        <f t="shared" si="7"/>
        <v>#DIV/0!</v>
      </c>
    </row>
    <row r="42" spans="1:26" x14ac:dyDescent="0.3">
      <c r="A42" s="8">
        <v>3</v>
      </c>
      <c r="B42" s="8">
        <v>-5</v>
      </c>
      <c r="C42" s="35">
        <v>-4.6968182020000002</v>
      </c>
      <c r="D42" s="35">
        <v>2.3020464559999998</v>
      </c>
      <c r="E42" s="26">
        <f>A42-C42</f>
        <v>7.6968182020000002</v>
      </c>
      <c r="F42" s="2">
        <f>A42-D42</f>
        <v>0.6979535440000002</v>
      </c>
      <c r="G42" s="8">
        <v>100</v>
      </c>
      <c r="H42" s="9">
        <v>100000</v>
      </c>
      <c r="I42" s="9">
        <f>(C42-B42)/G42</f>
        <v>3.0318179799999978E-3</v>
      </c>
      <c r="J42" s="9">
        <f>(D42-0)/H42</f>
        <v>2.3020464559999999E-5</v>
      </c>
      <c r="K42" s="5">
        <f t="shared" si="0"/>
        <v>131.70099031224754</v>
      </c>
      <c r="L42" s="55">
        <f>Z43</f>
        <v>144.99999999999997</v>
      </c>
      <c r="M42" s="16">
        <f>L42/I42</f>
        <v>47826.090140147557</v>
      </c>
      <c r="N42" s="9">
        <f t="shared" si="5"/>
        <v>0.12127271919999991</v>
      </c>
      <c r="O42" s="5">
        <f t="shared" si="6"/>
        <v>1085.9902472793538</v>
      </c>
      <c r="Z42" s="1" t="e">
        <f t="shared" si="7"/>
        <v>#DIV/0!</v>
      </c>
    </row>
    <row r="43" spans="1:26" x14ac:dyDescent="0.3">
      <c r="A43" s="8">
        <v>3</v>
      </c>
      <c r="B43" s="8">
        <v>-4.5</v>
      </c>
      <c r="C43" s="35">
        <v>-4.1978628520000001</v>
      </c>
      <c r="D43" s="35">
        <v>2.3020464569999999</v>
      </c>
      <c r="E43" s="26">
        <f t="shared" ref="E43:E51" si="20">A43-C43</f>
        <v>7.1978628520000001</v>
      </c>
      <c r="F43" s="2">
        <f t="shared" ref="F43:F51" si="21">A43-D43</f>
        <v>0.69795354300000012</v>
      </c>
      <c r="G43" s="8">
        <v>100</v>
      </c>
      <c r="H43" s="9">
        <v>100000</v>
      </c>
      <c r="I43" s="9">
        <f t="shared" ref="I43:I51" si="22">(C43-B43)/G43</f>
        <v>3.0213714799999991E-3</v>
      </c>
      <c r="J43" s="9">
        <f t="shared" ref="J43:J51" si="23">(D43-0)/H43</f>
        <v>2.3020464569999999E-5</v>
      </c>
      <c r="K43" s="5">
        <f t="shared" si="0"/>
        <v>131.24719837050617</v>
      </c>
      <c r="L43" s="61"/>
      <c r="M43" s="16">
        <f>L42/I43</f>
        <v>47991.450558075703</v>
      </c>
      <c r="N43" s="9">
        <f t="shared" si="5"/>
        <v>0.12085485919999996</v>
      </c>
      <c r="O43" s="5">
        <f t="shared" si="6"/>
        <v>1085.9902468076039</v>
      </c>
      <c r="X43" s="38">
        <v>2.0000000000000002E-5</v>
      </c>
      <c r="Y43" s="37">
        <v>2.8999999999999998E-3</v>
      </c>
      <c r="Z43" s="37">
        <f t="shared" si="7"/>
        <v>144.99999999999997</v>
      </c>
    </row>
    <row r="44" spans="1:26" x14ac:dyDescent="0.3">
      <c r="A44" s="8">
        <v>3</v>
      </c>
      <c r="B44" s="8">
        <v>-4</v>
      </c>
      <c r="C44" s="35">
        <v>-3.698907502</v>
      </c>
      <c r="D44" s="35">
        <v>2.302046458</v>
      </c>
      <c r="E44" s="26">
        <f t="shared" si="20"/>
        <v>6.698907502</v>
      </c>
      <c r="F44" s="2">
        <f t="shared" si="21"/>
        <v>0.69795354200000004</v>
      </c>
      <c r="G44" s="8">
        <v>100</v>
      </c>
      <c r="H44" s="9">
        <v>100000</v>
      </c>
      <c r="I44" s="9">
        <f t="shared" si="22"/>
        <v>3.0109249800000003E-3</v>
      </c>
      <c r="J44" s="9">
        <f t="shared" si="23"/>
        <v>2.3020464579999999E-5</v>
      </c>
      <c r="K44" s="5">
        <f t="shared" si="0"/>
        <v>130.79340642915906</v>
      </c>
      <c r="L44" s="61"/>
      <c r="M44" s="16">
        <f>L42/I44</f>
        <v>48157.958422464566</v>
      </c>
      <c r="N44" s="9">
        <f t="shared" si="5"/>
        <v>0.12043699920000001</v>
      </c>
      <c r="O44" s="5">
        <f t="shared" si="6"/>
        <v>1085.990246335854</v>
      </c>
      <c r="Z44" s="1" t="e">
        <f t="shared" si="7"/>
        <v>#DIV/0!</v>
      </c>
    </row>
    <row r="45" spans="1:26" x14ac:dyDescent="0.3">
      <c r="A45" s="8">
        <v>3</v>
      </c>
      <c r="B45" s="8">
        <v>-3.5</v>
      </c>
      <c r="C45" s="35">
        <v>-3.1999521519999998</v>
      </c>
      <c r="D45" s="35">
        <v>2.3020464600000001</v>
      </c>
      <c r="E45" s="26">
        <f t="shared" si="20"/>
        <v>6.1999521519999998</v>
      </c>
      <c r="F45" s="2">
        <f t="shared" si="21"/>
        <v>0.69795353999999987</v>
      </c>
      <c r="G45" s="8">
        <v>100</v>
      </c>
      <c r="H45" s="9">
        <v>100000</v>
      </c>
      <c r="I45" s="9">
        <f t="shared" si="22"/>
        <v>3.0004784800000016E-3</v>
      </c>
      <c r="J45" s="9">
        <f t="shared" si="23"/>
        <v>2.3020464600000002E-5</v>
      </c>
      <c r="K45" s="5">
        <f t="shared" si="0"/>
        <v>130.33961443158717</v>
      </c>
      <c r="L45" s="61"/>
      <c r="M45" s="16">
        <f>L42/I45</f>
        <v>48325.625718202085</v>
      </c>
      <c r="N45" s="9">
        <f t="shared" si="5"/>
        <v>0.12001913920000006</v>
      </c>
      <c r="O45" s="5">
        <f t="shared" si="6"/>
        <v>1085.9902453923539</v>
      </c>
      <c r="Z45" s="1" t="e">
        <f t="shared" si="7"/>
        <v>#DIV/0!</v>
      </c>
    </row>
    <row r="46" spans="1:26" x14ac:dyDescent="0.3">
      <c r="A46" s="8">
        <v>3</v>
      </c>
      <c r="B46" s="8">
        <v>-3</v>
      </c>
      <c r="C46" s="35">
        <v>-2.7009968020000001</v>
      </c>
      <c r="D46" s="35">
        <v>2.3020464610000002</v>
      </c>
      <c r="E46" s="26">
        <f t="shared" si="20"/>
        <v>5.7009968020000006</v>
      </c>
      <c r="F46" s="2">
        <f t="shared" si="21"/>
        <v>0.69795353899999979</v>
      </c>
      <c r="G46" s="8">
        <v>100</v>
      </c>
      <c r="H46" s="9">
        <v>100000</v>
      </c>
      <c r="I46" s="9">
        <f t="shared" si="22"/>
        <v>2.9900319799999985E-3</v>
      </c>
      <c r="J46" s="9">
        <f t="shared" si="23"/>
        <v>2.3020464610000002E-5</v>
      </c>
      <c r="K46" s="5">
        <f t="shared" si="0"/>
        <v>129.88582249122547</v>
      </c>
      <c r="L46" s="61"/>
      <c r="M46" s="16">
        <f>L42/I46</f>
        <v>48494.464597666294</v>
      </c>
      <c r="N46" s="9">
        <f t="shared" si="5"/>
        <v>0.11960127919999994</v>
      </c>
      <c r="O46" s="5">
        <f t="shared" si="6"/>
        <v>1085.990244920604</v>
      </c>
      <c r="Z46" s="1" t="e">
        <f t="shared" si="7"/>
        <v>#DIV/0!</v>
      </c>
    </row>
    <row r="47" spans="1:26" x14ac:dyDescent="0.3">
      <c r="A47" s="8">
        <v>3</v>
      </c>
      <c r="B47" s="8">
        <v>-2.5</v>
      </c>
      <c r="C47" s="35">
        <v>-2.202041452</v>
      </c>
      <c r="D47" s="35">
        <v>2.3020464619999998</v>
      </c>
      <c r="E47" s="26">
        <f t="shared" si="20"/>
        <v>5.2020414519999996</v>
      </c>
      <c r="F47" s="2">
        <f t="shared" si="21"/>
        <v>0.69795353800000015</v>
      </c>
      <c r="G47" s="8">
        <v>100</v>
      </c>
      <c r="H47" s="9">
        <v>100000</v>
      </c>
      <c r="I47" s="9">
        <f t="shared" si="22"/>
        <v>2.9795854799999997E-3</v>
      </c>
      <c r="J47" s="9">
        <f t="shared" si="23"/>
        <v>2.3020464619999998E-5</v>
      </c>
      <c r="K47" s="5">
        <f t="shared" si="0"/>
        <v>129.43203055125826</v>
      </c>
      <c r="L47" s="61"/>
      <c r="M47" s="16">
        <f>L42/I47</f>
        <v>48664.487383661159</v>
      </c>
      <c r="N47" s="9">
        <f t="shared" si="5"/>
        <v>0.11918341919999999</v>
      </c>
      <c r="O47" s="5">
        <f t="shared" si="6"/>
        <v>1085.9902444488544</v>
      </c>
      <c r="Z47" s="1" t="e">
        <f t="shared" si="7"/>
        <v>#DIV/0!</v>
      </c>
    </row>
    <row r="48" spans="1:26" x14ac:dyDescent="0.3">
      <c r="A48" s="8">
        <v>3</v>
      </c>
      <c r="B48" s="8">
        <v>-2</v>
      </c>
      <c r="C48" s="35">
        <v>-1.7030861020000001</v>
      </c>
      <c r="D48" s="35">
        <v>2.3020464629999999</v>
      </c>
      <c r="E48" s="26">
        <f t="shared" si="20"/>
        <v>4.7030861020000003</v>
      </c>
      <c r="F48" s="2">
        <f t="shared" si="21"/>
        <v>0.69795353700000007</v>
      </c>
      <c r="G48" s="8">
        <v>100</v>
      </c>
      <c r="H48" s="9">
        <v>100000</v>
      </c>
      <c r="I48" s="9">
        <f t="shared" si="22"/>
        <v>2.9691389799999992E-3</v>
      </c>
      <c r="J48" s="9">
        <f t="shared" si="23"/>
        <v>2.3020464629999998E-5</v>
      </c>
      <c r="K48" s="5">
        <f t="shared" si="0"/>
        <v>128.97823861168519</v>
      </c>
      <c r="L48" s="61"/>
      <c r="M48" s="16">
        <f>L42/I48</f>
        <v>48835.706572415147</v>
      </c>
      <c r="N48" s="9">
        <f t="shared" si="5"/>
        <v>0.11876555919999997</v>
      </c>
      <c r="O48" s="5">
        <f t="shared" si="6"/>
        <v>1085.9902439771045</v>
      </c>
      <c r="Z48" s="1" t="e">
        <f t="shared" si="7"/>
        <v>#DIV/0!</v>
      </c>
    </row>
    <row r="49" spans="1:26" x14ac:dyDescent="0.3">
      <c r="A49" s="8">
        <v>3</v>
      </c>
      <c r="B49" s="8">
        <v>-1.5</v>
      </c>
      <c r="C49" s="35">
        <v>-1.204130752</v>
      </c>
      <c r="D49" s="35">
        <v>2.3020464650000001</v>
      </c>
      <c r="E49" s="26">
        <f t="shared" si="20"/>
        <v>4.2041307520000002</v>
      </c>
      <c r="F49" s="2">
        <f t="shared" si="21"/>
        <v>0.6979535349999999</v>
      </c>
      <c r="G49" s="8">
        <v>100</v>
      </c>
      <c r="H49" s="9">
        <v>100000</v>
      </c>
      <c r="I49" s="9">
        <f t="shared" si="22"/>
        <v>2.9586924800000004E-3</v>
      </c>
      <c r="J49" s="9">
        <f t="shared" si="23"/>
        <v>2.3020464650000001E-5</v>
      </c>
      <c r="K49" s="5">
        <f t="shared" si="0"/>
        <v>128.52444661667593</v>
      </c>
      <c r="L49" s="61"/>
      <c r="M49" s="16">
        <f>L42/I49</f>
        <v>49008.134836642421</v>
      </c>
      <c r="N49" s="9">
        <f t="shared" si="5"/>
        <v>0.11834769920000002</v>
      </c>
      <c r="O49" s="5">
        <f t="shared" si="6"/>
        <v>1085.9902430336044</v>
      </c>
      <c r="Z49" s="1" t="e">
        <f t="shared" si="7"/>
        <v>#DIV/0!</v>
      </c>
    </row>
    <row r="50" spans="1:26" x14ac:dyDescent="0.3">
      <c r="A50" s="8">
        <v>3</v>
      </c>
      <c r="B50" s="8">
        <v>-1</v>
      </c>
      <c r="C50" s="35">
        <v>-0.70517540199999995</v>
      </c>
      <c r="D50" s="35">
        <v>2.3020464660000002</v>
      </c>
      <c r="E50" s="26">
        <f t="shared" si="20"/>
        <v>3.7051754020000001</v>
      </c>
      <c r="F50" s="2">
        <f t="shared" si="21"/>
        <v>0.69795353399999982</v>
      </c>
      <c r="G50" s="8">
        <v>100</v>
      </c>
      <c r="H50" s="9">
        <v>100000</v>
      </c>
      <c r="I50" s="9">
        <f t="shared" si="22"/>
        <v>2.9482459800000004E-3</v>
      </c>
      <c r="J50" s="9">
        <f t="shared" si="23"/>
        <v>2.3020464660000001E-5</v>
      </c>
      <c r="K50" s="5">
        <f t="shared" si="0"/>
        <v>128.07065467808852</v>
      </c>
      <c r="L50" s="61"/>
      <c r="M50" s="16">
        <f>L42/I50</f>
        <v>49181.785028669809</v>
      </c>
      <c r="N50" s="9">
        <f t="shared" si="5"/>
        <v>0.11792983920000001</v>
      </c>
      <c r="O50" s="5">
        <f t="shared" si="6"/>
        <v>1085.9902425618545</v>
      </c>
      <c r="Z50" s="1" t="e">
        <f t="shared" si="7"/>
        <v>#DIV/0!</v>
      </c>
    </row>
    <row r="51" spans="1:26" x14ac:dyDescent="0.3">
      <c r="A51" s="8">
        <v>3</v>
      </c>
      <c r="B51" s="8">
        <v>-0.5</v>
      </c>
      <c r="C51" s="35">
        <v>-0.20622005199999999</v>
      </c>
      <c r="D51" s="35">
        <v>2.3020464669999998</v>
      </c>
      <c r="E51" s="26">
        <f t="shared" si="20"/>
        <v>3.2062200519999999</v>
      </c>
      <c r="F51" s="2">
        <f t="shared" si="21"/>
        <v>0.69795353300000018</v>
      </c>
      <c r="G51" s="8">
        <v>100</v>
      </c>
      <c r="H51" s="9">
        <v>100000</v>
      </c>
      <c r="I51" s="9">
        <f t="shared" si="22"/>
        <v>2.9377994800000003E-3</v>
      </c>
      <c r="J51" s="9">
        <f t="shared" si="23"/>
        <v>2.3020464669999997E-5</v>
      </c>
      <c r="K51" s="5">
        <f t="shared" si="0"/>
        <v>127.61686273989537</v>
      </c>
      <c r="L51" s="61"/>
      <c r="M51" s="16">
        <f>L42/I51</f>
        <v>49356.670183630078</v>
      </c>
      <c r="N51" s="9">
        <f t="shared" si="5"/>
        <v>0.11751197920000001</v>
      </c>
      <c r="O51" s="5">
        <f t="shared" si="6"/>
        <v>1085.9902420901049</v>
      </c>
      <c r="Z51" s="1" t="e">
        <f t="shared" si="7"/>
        <v>#DIV/0!</v>
      </c>
    </row>
    <row r="52" spans="1:26" x14ac:dyDescent="0.3">
      <c r="A52" s="21">
        <v>2.5</v>
      </c>
      <c r="B52" s="21">
        <v>-5</v>
      </c>
      <c r="C52" s="39">
        <v>-4.7629783430000003</v>
      </c>
      <c r="D52" s="39">
        <v>1.8110236989999999</v>
      </c>
      <c r="E52" s="27">
        <f>A52-C52</f>
        <v>7.2629783430000003</v>
      </c>
      <c r="F52" s="25">
        <f>A52-D52</f>
        <v>0.68897630100000007</v>
      </c>
      <c r="G52" s="21">
        <v>100</v>
      </c>
      <c r="H52" s="22">
        <v>100000</v>
      </c>
      <c r="I52" s="22">
        <f>(C52-B52)/G52</f>
        <v>2.3702165699999965E-3</v>
      </c>
      <c r="J52" s="22">
        <f>(D52-0)/H52</f>
        <v>1.811023699E-5</v>
      </c>
      <c r="K52" s="23">
        <f t="shared" si="0"/>
        <v>130.87717026059727</v>
      </c>
      <c r="L52" s="56">
        <f>Z53</f>
        <v>114.99999999999999</v>
      </c>
      <c r="M52" s="24">
        <f>L52/I52</f>
        <v>48518.773117850644</v>
      </c>
      <c r="N52" s="22">
        <f t="shared" si="5"/>
        <v>9.480866279999986E-2</v>
      </c>
      <c r="O52" s="23">
        <f t="shared" si="6"/>
        <v>1380.4347239522237</v>
      </c>
      <c r="Z52" s="1" t="e">
        <f t="shared" si="7"/>
        <v>#DIV/0!</v>
      </c>
    </row>
    <row r="53" spans="1:26" x14ac:dyDescent="0.3">
      <c r="A53" s="21">
        <v>2.5</v>
      </c>
      <c r="B53" s="21">
        <v>-4.5</v>
      </c>
      <c r="C53" s="39">
        <v>-4.2637964530000003</v>
      </c>
      <c r="D53" s="39">
        <v>1.8110237</v>
      </c>
      <c r="E53" s="27">
        <f t="shared" ref="E53:E61" si="24">A53-C53</f>
        <v>6.7637964530000003</v>
      </c>
      <c r="F53" s="25">
        <f t="shared" ref="F53:F61" si="25">A53-D53</f>
        <v>0.68897629999999999</v>
      </c>
      <c r="G53" s="21">
        <v>100</v>
      </c>
      <c r="H53" s="22">
        <v>100000</v>
      </c>
      <c r="I53" s="22">
        <f t="shared" ref="I53:I61" si="26">(C53-B53)/G53</f>
        <v>2.362035469999997E-3</v>
      </c>
      <c r="J53" s="22">
        <f t="shared" ref="J53:J61" si="27">(D53-0)/H53</f>
        <v>1.8110236999999999E-5</v>
      </c>
      <c r="K53" s="23">
        <f t="shared" si="0"/>
        <v>130.42543120777475</v>
      </c>
      <c r="L53" s="59"/>
      <c r="M53" s="24">
        <f>L52/I53</f>
        <v>48686.821794424679</v>
      </c>
      <c r="N53" s="22">
        <f t="shared" si="5"/>
        <v>9.4481418799999869E-2</v>
      </c>
      <c r="O53" s="23">
        <f t="shared" si="6"/>
        <v>1380.4347231899837</v>
      </c>
      <c r="X53" s="38">
        <v>2.0000000000000002E-5</v>
      </c>
      <c r="Y53" s="37">
        <v>2.3E-3</v>
      </c>
      <c r="Z53" s="37">
        <f t="shared" si="7"/>
        <v>114.99999999999999</v>
      </c>
    </row>
    <row r="54" spans="1:26" x14ac:dyDescent="0.3">
      <c r="A54" s="21">
        <v>2.5</v>
      </c>
      <c r="B54" s="21">
        <v>-4</v>
      </c>
      <c r="C54" s="39">
        <v>-3.7646145629999999</v>
      </c>
      <c r="D54" s="39">
        <v>1.8110237010000001</v>
      </c>
      <c r="E54" s="27">
        <f t="shared" si="24"/>
        <v>6.2646145630000003</v>
      </c>
      <c r="F54" s="25">
        <f t="shared" si="25"/>
        <v>0.6889762989999999</v>
      </c>
      <c r="G54" s="21">
        <v>100</v>
      </c>
      <c r="H54" s="22">
        <v>100000</v>
      </c>
      <c r="I54" s="22">
        <f t="shared" si="26"/>
        <v>2.3538543700000014E-3</v>
      </c>
      <c r="J54" s="22">
        <f t="shared" si="27"/>
        <v>1.8110237010000003E-5</v>
      </c>
      <c r="K54" s="23">
        <f t="shared" si="0"/>
        <v>129.97369215545132</v>
      </c>
      <c r="L54" s="59"/>
      <c r="M54" s="24">
        <f>L52/I54</f>
        <v>48856.038617206344</v>
      </c>
      <c r="N54" s="22">
        <f t="shared" si="5"/>
        <v>9.4154174800000046E-2</v>
      </c>
      <c r="O54" s="23">
        <f t="shared" si="6"/>
        <v>1380.4347224277435</v>
      </c>
      <c r="Z54" s="1" t="e">
        <f t="shared" si="7"/>
        <v>#DIV/0!</v>
      </c>
    </row>
    <row r="55" spans="1:26" x14ac:dyDescent="0.3">
      <c r="A55" s="21">
        <v>2.5</v>
      </c>
      <c r="B55" s="21">
        <v>-3.5</v>
      </c>
      <c r="C55" s="39">
        <v>-3.2654326729999998</v>
      </c>
      <c r="D55" s="39">
        <v>1.811023703</v>
      </c>
      <c r="E55" s="27">
        <f t="shared" si="24"/>
        <v>5.7654326729999994</v>
      </c>
      <c r="F55" s="25">
        <f t="shared" si="25"/>
        <v>0.68897629699999996</v>
      </c>
      <c r="G55" s="21">
        <v>100</v>
      </c>
      <c r="H55" s="22">
        <v>100000</v>
      </c>
      <c r="I55" s="22">
        <f t="shared" si="26"/>
        <v>2.3456732700000015E-3</v>
      </c>
      <c r="J55" s="22">
        <f t="shared" si="27"/>
        <v>1.8110237029999999E-5</v>
      </c>
      <c r="K55" s="23">
        <f t="shared" si="0"/>
        <v>129.52195303210792</v>
      </c>
      <c r="L55" s="59"/>
      <c r="M55" s="24">
        <f>L52/I55</f>
        <v>49026.435808768845</v>
      </c>
      <c r="N55" s="22">
        <f t="shared" si="5"/>
        <v>9.3826930800000055E-2</v>
      </c>
      <c r="O55" s="23">
        <f t="shared" si="6"/>
        <v>1380.4347209032637</v>
      </c>
      <c r="Z55" s="1" t="e">
        <f t="shared" si="7"/>
        <v>#DIV/0!</v>
      </c>
    </row>
    <row r="56" spans="1:26" x14ac:dyDescent="0.3">
      <c r="A56" s="21">
        <v>2.5</v>
      </c>
      <c r="B56" s="21">
        <v>-3</v>
      </c>
      <c r="C56" s="39">
        <v>-2.7662507829999998</v>
      </c>
      <c r="D56" s="39">
        <v>1.8110237039999999</v>
      </c>
      <c r="E56" s="27">
        <f t="shared" si="24"/>
        <v>5.2662507830000003</v>
      </c>
      <c r="F56" s="25">
        <f t="shared" si="25"/>
        <v>0.6889762960000001</v>
      </c>
      <c r="G56" s="21">
        <v>100</v>
      </c>
      <c r="H56" s="22">
        <v>100000</v>
      </c>
      <c r="I56" s="22">
        <f t="shared" si="26"/>
        <v>2.337492170000002E-3</v>
      </c>
      <c r="J56" s="22">
        <f t="shared" si="27"/>
        <v>1.8110237039999999E-5</v>
      </c>
      <c r="K56" s="23">
        <f t="shared" si="0"/>
        <v>129.07021398103149</v>
      </c>
      <c r="L56" s="59"/>
      <c r="M56" s="24">
        <f>L52/I56</f>
        <v>49198.025762798548</v>
      </c>
      <c r="N56" s="22">
        <f t="shared" si="5"/>
        <v>9.3499686800000079E-2</v>
      </c>
      <c r="O56" s="23">
        <f t="shared" si="6"/>
        <v>1380.4347201410237</v>
      </c>
      <c r="Z56" s="1" t="e">
        <f t="shared" si="7"/>
        <v>#DIV/0!</v>
      </c>
    </row>
    <row r="57" spans="1:26" x14ac:dyDescent="0.3">
      <c r="A57" s="21">
        <v>2.5</v>
      </c>
      <c r="B57" s="21">
        <v>-2.5</v>
      </c>
      <c r="C57" s="39">
        <v>-2.2670688929999998</v>
      </c>
      <c r="D57" s="39">
        <v>1.811023705</v>
      </c>
      <c r="E57" s="27">
        <f t="shared" si="24"/>
        <v>4.7670688929999994</v>
      </c>
      <c r="F57" s="25">
        <f t="shared" si="25"/>
        <v>0.68897629500000002</v>
      </c>
      <c r="G57" s="21">
        <v>100</v>
      </c>
      <c r="H57" s="22">
        <v>100000</v>
      </c>
      <c r="I57" s="22">
        <f t="shared" si="26"/>
        <v>2.329311070000002E-3</v>
      </c>
      <c r="J57" s="22">
        <f t="shared" si="27"/>
        <v>1.8110237049999999E-5</v>
      </c>
      <c r="K57" s="23">
        <f t="shared" si="0"/>
        <v>128.61847493045389</v>
      </c>
      <c r="L57" s="59"/>
      <c r="M57" s="24">
        <f>L52/I57</f>
        <v>49370.821047100369</v>
      </c>
      <c r="N57" s="22">
        <f t="shared" si="5"/>
        <v>9.3172442800000074E-2</v>
      </c>
      <c r="O57" s="23">
        <f t="shared" si="6"/>
        <v>1380.4347193787837</v>
      </c>
      <c r="Z57" s="1" t="e">
        <f t="shared" si="7"/>
        <v>#DIV/0!</v>
      </c>
    </row>
    <row r="58" spans="1:26" x14ac:dyDescent="0.3">
      <c r="A58" s="21">
        <v>2.5</v>
      </c>
      <c r="B58" s="21">
        <v>-2</v>
      </c>
      <c r="C58" s="39">
        <v>-1.7678870019999999</v>
      </c>
      <c r="D58" s="39">
        <v>1.8110237060000001</v>
      </c>
      <c r="E58" s="27">
        <f t="shared" si="24"/>
        <v>4.2678870020000002</v>
      </c>
      <c r="F58" s="25">
        <f t="shared" si="25"/>
        <v>0.68897629399999993</v>
      </c>
      <c r="G58" s="21">
        <v>100</v>
      </c>
      <c r="H58" s="22">
        <v>100000</v>
      </c>
      <c r="I58" s="22">
        <f t="shared" si="26"/>
        <v>2.3211299800000008E-3</v>
      </c>
      <c r="J58" s="22">
        <f t="shared" si="27"/>
        <v>1.8110237060000002E-5</v>
      </c>
      <c r="K58" s="23">
        <f t="shared" si="0"/>
        <v>128.16673643254896</v>
      </c>
      <c r="L58" s="59"/>
      <c r="M58" s="24">
        <f>L52/I58</f>
        <v>49544.834193214781</v>
      </c>
      <c r="N58" s="22">
        <f t="shared" si="5"/>
        <v>9.284519920000002E-2</v>
      </c>
      <c r="O58" s="23">
        <f t="shared" si="6"/>
        <v>1380.4347186165435</v>
      </c>
      <c r="Z58" s="1" t="e">
        <f t="shared" si="7"/>
        <v>#DIV/0!</v>
      </c>
    </row>
    <row r="59" spans="1:26" x14ac:dyDescent="0.3">
      <c r="A59" s="21">
        <v>2.5</v>
      </c>
      <c r="B59" s="21">
        <v>-1.5</v>
      </c>
      <c r="C59" s="39">
        <v>-1.2687051119999999</v>
      </c>
      <c r="D59" s="39">
        <v>1.8110237069999999</v>
      </c>
      <c r="E59" s="27">
        <f t="shared" si="24"/>
        <v>3.7687051120000001</v>
      </c>
      <c r="F59" s="25">
        <f t="shared" si="25"/>
        <v>0.68897629300000007</v>
      </c>
      <c r="G59" s="21">
        <v>100</v>
      </c>
      <c r="H59" s="22">
        <v>100000</v>
      </c>
      <c r="I59" s="22">
        <f t="shared" si="26"/>
        <v>2.3129488800000008E-3</v>
      </c>
      <c r="J59" s="22">
        <f t="shared" si="27"/>
        <v>1.8110237069999998E-5</v>
      </c>
      <c r="K59" s="23">
        <f t="shared" si="0"/>
        <v>127.71499738296916</v>
      </c>
      <c r="L59" s="59"/>
      <c r="M59" s="24">
        <f>L52/I59</f>
        <v>49720.078551844148</v>
      </c>
      <c r="N59" s="22">
        <f t="shared" si="5"/>
        <v>9.2517955200000029E-2</v>
      </c>
      <c r="O59" s="23">
        <f t="shared" si="6"/>
        <v>1380.4347178543039</v>
      </c>
      <c r="Z59" s="1" t="e">
        <f t="shared" si="7"/>
        <v>#DIV/0!</v>
      </c>
    </row>
    <row r="60" spans="1:26" x14ac:dyDescent="0.3">
      <c r="A60" s="21">
        <v>2.5</v>
      </c>
      <c r="B60" s="21">
        <v>-1</v>
      </c>
      <c r="C60" s="39">
        <v>-0.76952322200000001</v>
      </c>
      <c r="D60" s="39">
        <v>1.811023708</v>
      </c>
      <c r="E60" s="27">
        <f t="shared" si="24"/>
        <v>3.2695232220000001</v>
      </c>
      <c r="F60" s="25">
        <f t="shared" si="25"/>
        <v>0.68897629199999999</v>
      </c>
      <c r="G60" s="21">
        <v>100</v>
      </c>
      <c r="H60" s="22">
        <v>100000</v>
      </c>
      <c r="I60" s="22">
        <f t="shared" si="26"/>
        <v>2.30476778E-3</v>
      </c>
      <c r="J60" s="22">
        <f t="shared" si="27"/>
        <v>1.8110237080000001E-5</v>
      </c>
      <c r="K60" s="23">
        <f t="shared" si="0"/>
        <v>127.26325833388813</v>
      </c>
      <c r="L60" s="59"/>
      <c r="M60" s="24">
        <f>L52/I60</f>
        <v>49896.567019866961</v>
      </c>
      <c r="N60" s="22">
        <f t="shared" si="5"/>
        <v>9.2190711199999997E-2</v>
      </c>
      <c r="O60" s="23">
        <f t="shared" si="6"/>
        <v>1380.4347170920635</v>
      </c>
      <c r="Z60" s="1" t="e">
        <f t="shared" si="7"/>
        <v>#DIV/0!</v>
      </c>
    </row>
    <row r="61" spans="1:26" x14ac:dyDescent="0.3">
      <c r="A61" s="21">
        <v>2.5</v>
      </c>
      <c r="B61" s="21">
        <v>-0.5</v>
      </c>
      <c r="C61" s="39">
        <v>-0.27034133199999999</v>
      </c>
      <c r="D61" s="39">
        <v>1.8110237090000001</v>
      </c>
      <c r="E61" s="27">
        <f t="shared" si="24"/>
        <v>2.7703413320000001</v>
      </c>
      <c r="F61" s="25">
        <f t="shared" si="25"/>
        <v>0.68897629099999991</v>
      </c>
      <c r="G61" s="21">
        <v>100</v>
      </c>
      <c r="H61" s="22">
        <v>100000</v>
      </c>
      <c r="I61" s="22">
        <f t="shared" si="26"/>
        <v>2.2965866800000001E-3</v>
      </c>
      <c r="J61" s="22">
        <f t="shared" si="27"/>
        <v>1.8110237090000001E-5</v>
      </c>
      <c r="K61" s="23">
        <f t="shared" si="0"/>
        <v>126.81151928530605</v>
      </c>
      <c r="L61" s="59"/>
      <c r="M61" s="24">
        <f>L52/I61</f>
        <v>50074.312892905909</v>
      </c>
      <c r="N61" s="22">
        <f t="shared" si="5"/>
        <v>9.1863467199999993E-2</v>
      </c>
      <c r="O61" s="23">
        <f t="shared" si="6"/>
        <v>1380.4347163298237</v>
      </c>
      <c r="Z61" s="1" t="e">
        <f t="shared" si="7"/>
        <v>#DIV/0!</v>
      </c>
    </row>
    <row r="62" spans="1:26" x14ac:dyDescent="0.3">
      <c r="A62" s="10">
        <v>2</v>
      </c>
      <c r="B62" s="10">
        <v>-5</v>
      </c>
      <c r="C62" s="40">
        <v>-4.8288746519999997</v>
      </c>
      <c r="D62" s="40">
        <v>1.322812221</v>
      </c>
      <c r="E62" s="28">
        <f>A62-C62</f>
        <v>6.8288746519999997</v>
      </c>
      <c r="F62" s="3">
        <f>A62-D62</f>
        <v>0.67718777900000005</v>
      </c>
      <c r="G62" s="10">
        <v>100</v>
      </c>
      <c r="H62" s="11">
        <v>100000</v>
      </c>
      <c r="I62" s="11">
        <f>(C62-B62)/G62</f>
        <v>1.7112534800000035E-3</v>
      </c>
      <c r="J62" s="11">
        <f>(D62-0)/H62</f>
        <v>1.3228122209999999E-5</v>
      </c>
      <c r="K62" s="6">
        <f t="shared" si="0"/>
        <v>129.36480725180749</v>
      </c>
      <c r="L62" s="52">
        <f>Z63</f>
        <v>160</v>
      </c>
      <c r="M62" s="17">
        <f>L62/I62</f>
        <v>93498.714170620515</v>
      </c>
      <c r="N62" s="11">
        <f t="shared" si="5"/>
        <v>6.8450139200000135E-2</v>
      </c>
      <c r="O62" s="6">
        <f t="shared" si="6"/>
        <v>1889.9129901522131</v>
      </c>
      <c r="Z62" s="1" t="e">
        <f t="shared" si="7"/>
        <v>#DIV/0!</v>
      </c>
    </row>
    <row r="63" spans="1:26" x14ac:dyDescent="0.3">
      <c r="A63" s="10">
        <v>2</v>
      </c>
      <c r="B63" s="10">
        <v>-4.5</v>
      </c>
      <c r="C63" s="40">
        <v>-4.3294660250000003</v>
      </c>
      <c r="D63" s="40">
        <v>1.3228122229999999</v>
      </c>
      <c r="E63" s="28">
        <f t="shared" ref="E63:E71" si="28">A63-C63</f>
        <v>6.3294660250000003</v>
      </c>
      <c r="F63" s="3">
        <f t="shared" ref="F63:F71" si="29">A63-D63</f>
        <v>0.6771877770000001</v>
      </c>
      <c r="G63" s="10">
        <v>100</v>
      </c>
      <c r="H63" s="11">
        <v>100000</v>
      </c>
      <c r="I63" s="11">
        <f t="shared" ref="I63:I71" si="30">(C63-B63)/G63</f>
        <v>1.7053397499999967E-3</v>
      </c>
      <c r="J63" s="11">
        <f t="shared" ref="J63:J71" si="31">(D63-0)/H63</f>
        <v>1.3228122229999999E-5</v>
      </c>
      <c r="K63" s="6">
        <f t="shared" si="0"/>
        <v>128.9177496510022</v>
      </c>
      <c r="L63" s="57"/>
      <c r="M63" s="17">
        <f>L62/I63</f>
        <v>93822.946424605601</v>
      </c>
      <c r="N63" s="11">
        <f t="shared" si="5"/>
        <v>6.8213589999999866E-2</v>
      </c>
      <c r="O63" s="6">
        <f t="shared" si="6"/>
        <v>1889.9129872947963</v>
      </c>
      <c r="X63" s="38">
        <v>1.0000000000000001E-5</v>
      </c>
      <c r="Y63" s="37">
        <v>1.6000000000000001E-3</v>
      </c>
      <c r="Z63" s="37">
        <f t="shared" si="7"/>
        <v>160</v>
      </c>
    </row>
    <row r="64" spans="1:26" x14ac:dyDescent="0.3">
      <c r="A64" s="10">
        <v>2</v>
      </c>
      <c r="B64" s="10">
        <v>-4</v>
      </c>
      <c r="C64" s="40">
        <v>-3.8300573980000001</v>
      </c>
      <c r="D64" s="40">
        <v>1.3228122229999999</v>
      </c>
      <c r="E64" s="28">
        <f t="shared" si="28"/>
        <v>5.8300573980000001</v>
      </c>
      <c r="F64" s="3">
        <f t="shared" si="29"/>
        <v>0.6771877770000001</v>
      </c>
      <c r="G64" s="10">
        <v>100</v>
      </c>
      <c r="H64" s="11">
        <v>100000</v>
      </c>
      <c r="I64" s="11">
        <f t="shared" si="30"/>
        <v>1.6994260199999988E-3</v>
      </c>
      <c r="J64" s="11">
        <f t="shared" si="31"/>
        <v>1.3228122229999999E-5</v>
      </c>
      <c r="K64" s="6">
        <f t="shared" si="0"/>
        <v>128.47069224578814</v>
      </c>
      <c r="L64" s="57"/>
      <c r="M64" s="17">
        <f>L62/I64</f>
        <v>94149.435231078853</v>
      </c>
      <c r="N64" s="11">
        <f t="shared" si="5"/>
        <v>6.7977040799999944E-2</v>
      </c>
      <c r="O64" s="6">
        <f t="shared" si="6"/>
        <v>1889.9129872947963</v>
      </c>
      <c r="Z64" s="1" t="e">
        <f t="shared" si="7"/>
        <v>#DIV/0!</v>
      </c>
    </row>
    <row r="65" spans="1:26" x14ac:dyDescent="0.3">
      <c r="A65" s="10">
        <v>2</v>
      </c>
      <c r="B65" s="10">
        <v>-3.5</v>
      </c>
      <c r="C65" s="40">
        <v>-3.3306487709999999</v>
      </c>
      <c r="D65" s="40">
        <v>1.322812221</v>
      </c>
      <c r="E65" s="28">
        <f t="shared" si="28"/>
        <v>5.3306487709999999</v>
      </c>
      <c r="F65" s="3">
        <f t="shared" si="29"/>
        <v>0.67718777900000005</v>
      </c>
      <c r="G65" s="10">
        <v>100</v>
      </c>
      <c r="H65" s="11">
        <v>100000</v>
      </c>
      <c r="I65" s="11">
        <f t="shared" si="30"/>
        <v>1.6935122900000011E-3</v>
      </c>
      <c r="J65" s="11">
        <f t="shared" si="31"/>
        <v>1.3228122209999999E-5</v>
      </c>
      <c r="K65" s="6">
        <f t="shared" si="0"/>
        <v>128.02363503413696</v>
      </c>
      <c r="L65" s="57"/>
      <c r="M65" s="17">
        <f>L62/I65</f>
        <v>94478.204229624986</v>
      </c>
      <c r="N65" s="11">
        <f t="shared" si="5"/>
        <v>6.7740491600000036E-2</v>
      </c>
      <c r="O65" s="6">
        <f t="shared" si="6"/>
        <v>1889.9129901522131</v>
      </c>
      <c r="Z65" s="1" t="e">
        <f t="shared" si="7"/>
        <v>#DIV/0!</v>
      </c>
    </row>
    <row r="66" spans="1:26" x14ac:dyDescent="0.3">
      <c r="A66" s="10">
        <v>2</v>
      </c>
      <c r="B66" s="10">
        <v>-3</v>
      </c>
      <c r="C66" s="40">
        <v>-2.8312401450000002</v>
      </c>
      <c r="D66" s="40">
        <v>1.3228122170000001</v>
      </c>
      <c r="E66" s="28">
        <f t="shared" si="28"/>
        <v>4.8312401450000007</v>
      </c>
      <c r="F66" s="3">
        <f t="shared" si="29"/>
        <v>0.67718778299999993</v>
      </c>
      <c r="G66" s="10">
        <v>100</v>
      </c>
      <c r="H66" s="11">
        <v>100000</v>
      </c>
      <c r="I66" s="11">
        <f t="shared" si="30"/>
        <v>1.687598549999998E-3</v>
      </c>
      <c r="J66" s="11">
        <f t="shared" si="31"/>
        <v>1.322812217E-5</v>
      </c>
      <c r="K66" s="6">
        <f t="shared" ref="K66:K91" si="32">I66/J66</f>
        <v>127.57657725805521</v>
      </c>
      <c r="L66" s="57"/>
      <c r="M66" s="17">
        <f>L62/I66</f>
        <v>94809.277952982477</v>
      </c>
      <c r="N66" s="11">
        <f t="shared" si="5"/>
        <v>6.7503941999999914E-2</v>
      </c>
      <c r="O66" s="6">
        <f t="shared" si="6"/>
        <v>1889.9129958670469</v>
      </c>
      <c r="Z66" s="1" t="e">
        <f t="shared" si="7"/>
        <v>#DIV/0!</v>
      </c>
    </row>
    <row r="67" spans="1:26" x14ac:dyDescent="0.3">
      <c r="A67" s="10">
        <v>2</v>
      </c>
      <c r="B67" s="10">
        <v>-2.5</v>
      </c>
      <c r="C67" s="40">
        <v>-2.3318315190000001</v>
      </c>
      <c r="D67" s="40">
        <v>1.3228122120000001</v>
      </c>
      <c r="E67" s="28">
        <f t="shared" si="28"/>
        <v>4.3318315189999996</v>
      </c>
      <c r="F67" s="3">
        <f t="shared" si="29"/>
        <v>0.6771877879999999</v>
      </c>
      <c r="G67" s="10">
        <v>100</v>
      </c>
      <c r="H67" s="11">
        <v>100000</v>
      </c>
      <c r="I67" s="11">
        <f t="shared" si="30"/>
        <v>1.6816848099999993E-3</v>
      </c>
      <c r="J67" s="11">
        <f t="shared" si="31"/>
        <v>1.3228122120000001E-5</v>
      </c>
      <c r="K67" s="6">
        <f t="shared" si="32"/>
        <v>127.12951957537561</v>
      </c>
      <c r="L67" s="57"/>
      <c r="M67" s="17">
        <f>L62/I67</f>
        <v>95142.680155385402</v>
      </c>
      <c r="N67" s="11">
        <f t="shared" ref="N67:N91" si="33">I67/0.025</f>
        <v>6.7267392399999973E-2</v>
      </c>
      <c r="O67" s="6">
        <f t="shared" ref="O67:O91" si="34">0.025/J67</f>
        <v>1889.9130030105891</v>
      </c>
      <c r="Z67" s="1" t="e">
        <f t="shared" si="7"/>
        <v>#DIV/0!</v>
      </c>
    </row>
    <row r="68" spans="1:26" x14ac:dyDescent="0.3">
      <c r="A68" s="10">
        <v>2</v>
      </c>
      <c r="B68" s="10">
        <v>-2</v>
      </c>
      <c r="C68" s="40">
        <v>-1.8324228899999999</v>
      </c>
      <c r="D68" s="40">
        <v>1.3228122280000001</v>
      </c>
      <c r="E68" s="28">
        <f t="shared" si="28"/>
        <v>3.8324228900000001</v>
      </c>
      <c r="F68" s="3">
        <f t="shared" si="29"/>
        <v>0.67718777199999991</v>
      </c>
      <c r="G68" s="10">
        <v>100</v>
      </c>
      <c r="H68" s="11">
        <v>100000</v>
      </c>
      <c r="I68" s="11">
        <f t="shared" si="30"/>
        <v>1.6757711000000008E-3</v>
      </c>
      <c r="J68" s="11">
        <f t="shared" si="31"/>
        <v>1.3228122280000002E-5</v>
      </c>
      <c r="K68" s="6">
        <f t="shared" si="32"/>
        <v>126.68246214609384</v>
      </c>
      <c r="L68" s="57"/>
      <c r="M68" s="17">
        <f>L62/I68</f>
        <v>95478.433778933118</v>
      </c>
      <c r="N68" s="11">
        <f t="shared" si="33"/>
        <v>6.7030844000000034E-2</v>
      </c>
      <c r="O68" s="6">
        <f t="shared" si="34"/>
        <v>1889.9129801512538</v>
      </c>
      <c r="Z68" s="1" t="e">
        <f t="shared" si="7"/>
        <v>#DIV/0!</v>
      </c>
    </row>
    <row r="69" spans="1:26" x14ac:dyDescent="0.3">
      <c r="A69" s="10">
        <v>2</v>
      </c>
      <c r="B69" s="10">
        <v>-1.5</v>
      </c>
      <c r="C69" s="40">
        <v>-1.333014264</v>
      </c>
      <c r="D69" s="40">
        <v>1.322812214</v>
      </c>
      <c r="E69" s="28">
        <f t="shared" si="28"/>
        <v>3.333014264</v>
      </c>
      <c r="F69" s="3">
        <f t="shared" si="29"/>
        <v>0.67718778599999996</v>
      </c>
      <c r="G69" s="10">
        <v>100</v>
      </c>
      <c r="H69" s="11">
        <v>100000</v>
      </c>
      <c r="I69" s="11">
        <f t="shared" si="30"/>
        <v>1.6698573599999999E-3</v>
      </c>
      <c r="J69" s="11">
        <f t="shared" si="31"/>
        <v>1.3228122140000001E-5</v>
      </c>
      <c r="K69" s="6">
        <f t="shared" si="32"/>
        <v>126.23540532261822</v>
      </c>
      <c r="L69" s="57"/>
      <c r="M69" s="17">
        <f>L62/I69</f>
        <v>95816.567230628614</v>
      </c>
      <c r="N69" s="11">
        <f t="shared" si="33"/>
        <v>6.6794294399999996E-2</v>
      </c>
      <c r="O69" s="6">
        <f t="shared" si="34"/>
        <v>1889.9130001531721</v>
      </c>
      <c r="Z69" s="1" t="e">
        <f t="shared" si="7"/>
        <v>#DIV/0!</v>
      </c>
    </row>
    <row r="70" spans="1:26" x14ac:dyDescent="0.3">
      <c r="A70" s="10">
        <v>2</v>
      </c>
      <c r="B70" s="10">
        <v>-1</v>
      </c>
      <c r="C70" s="40">
        <v>-0.83360563600000004</v>
      </c>
      <c r="D70" s="40">
        <v>1.32281223</v>
      </c>
      <c r="E70" s="28">
        <f t="shared" si="28"/>
        <v>2.8336056360000001</v>
      </c>
      <c r="F70" s="3">
        <f t="shared" si="29"/>
        <v>0.67718776999999997</v>
      </c>
      <c r="G70" s="10">
        <v>100</v>
      </c>
      <c r="H70" s="11">
        <v>100000</v>
      </c>
      <c r="I70" s="11">
        <f t="shared" si="30"/>
        <v>1.6639436399999996E-3</v>
      </c>
      <c r="J70" s="11">
        <f t="shared" si="31"/>
        <v>1.32281223E-5</v>
      </c>
      <c r="K70" s="6">
        <f t="shared" si="32"/>
        <v>125.78834714886176</v>
      </c>
      <c r="L70" s="57"/>
      <c r="M70" s="17">
        <f>L62/I70</f>
        <v>96157.103013417</v>
      </c>
      <c r="N70" s="11">
        <f t="shared" si="33"/>
        <v>6.6557745599999982E-2</v>
      </c>
      <c r="O70" s="6">
        <f t="shared" si="34"/>
        <v>1889.9129772938372</v>
      </c>
      <c r="Z70" s="1" t="e">
        <f t="shared" si="7"/>
        <v>#DIV/0!</v>
      </c>
    </row>
    <row r="71" spans="1:26" x14ac:dyDescent="0.3">
      <c r="A71" s="10">
        <v>2</v>
      </c>
      <c r="B71" s="10">
        <v>-0.5</v>
      </c>
      <c r="C71" s="40">
        <v>-0.33419701000000002</v>
      </c>
      <c r="D71" s="40">
        <v>1.322812216</v>
      </c>
      <c r="E71" s="28">
        <f t="shared" si="28"/>
        <v>2.33419701</v>
      </c>
      <c r="F71" s="3">
        <f t="shared" si="29"/>
        <v>0.67718778400000001</v>
      </c>
      <c r="G71" s="10">
        <v>100</v>
      </c>
      <c r="H71" s="11">
        <v>100000</v>
      </c>
      <c r="I71" s="11">
        <f t="shared" si="30"/>
        <v>1.6580298999999998E-3</v>
      </c>
      <c r="J71" s="11">
        <f t="shared" si="31"/>
        <v>1.322812216E-5</v>
      </c>
      <c r="K71" s="6">
        <f t="shared" si="32"/>
        <v>125.34129031659923</v>
      </c>
      <c r="L71" s="57"/>
      <c r="M71" s="17">
        <f>L62/I71</f>
        <v>96500.069148330818</v>
      </c>
      <c r="N71" s="11">
        <f t="shared" si="33"/>
        <v>6.6321195999999985E-2</v>
      </c>
      <c r="O71" s="6">
        <f t="shared" si="34"/>
        <v>1889.9129972957553</v>
      </c>
      <c r="Z71" s="1" t="e">
        <f t="shared" ref="Z71:Z91" si="35">ABS(-Y71/X71)</f>
        <v>#DIV/0!</v>
      </c>
    </row>
    <row r="72" spans="1:26" x14ac:dyDescent="0.3">
      <c r="A72" s="12">
        <v>1.5</v>
      </c>
      <c r="B72" s="12">
        <v>-5</v>
      </c>
      <c r="C72" s="41">
        <v>-4.8937893260000003</v>
      </c>
      <c r="D72" s="41">
        <v>0.83993532999999998</v>
      </c>
      <c r="E72" s="29">
        <f>A72-C72</f>
        <v>6.3937893260000003</v>
      </c>
      <c r="F72" s="4">
        <f>A72-D72</f>
        <v>0.66006467000000002</v>
      </c>
      <c r="G72" s="12">
        <v>100</v>
      </c>
      <c r="H72" s="13">
        <v>100000</v>
      </c>
      <c r="I72" s="13">
        <f>(C72-B72)/G72</f>
        <v>1.0621067399999972E-3</v>
      </c>
      <c r="J72" s="13">
        <f>(D72-0)/H72</f>
        <v>8.3993532999999992E-6</v>
      </c>
      <c r="K72" s="7">
        <f t="shared" si="32"/>
        <v>126.45101379412118</v>
      </c>
      <c r="L72" s="54">
        <f>Z73</f>
        <v>142.85714285714286</v>
      </c>
      <c r="M72" s="18">
        <f>L72/I72</f>
        <v>134503.56492149108</v>
      </c>
      <c r="N72" s="13">
        <f t="shared" si="33"/>
        <v>4.2484269599999888E-2</v>
      </c>
      <c r="O72" s="7">
        <f t="shared" si="34"/>
        <v>2976.4196250680397</v>
      </c>
      <c r="Z72" s="1" t="e">
        <f t="shared" si="35"/>
        <v>#DIV/0!</v>
      </c>
    </row>
    <row r="73" spans="1:26" x14ac:dyDescent="0.3">
      <c r="A73" s="12">
        <v>1.5</v>
      </c>
      <c r="B73" s="12">
        <v>-4.5</v>
      </c>
      <c r="C73" s="41">
        <v>-4.3941564360000003</v>
      </c>
      <c r="D73" s="41">
        <v>0.83993533099999995</v>
      </c>
      <c r="E73" s="29">
        <f t="shared" ref="E73:E81" si="36">A73-C73</f>
        <v>5.8941564360000003</v>
      </c>
      <c r="F73" s="4">
        <f t="shared" ref="F73:F81" si="37">A73-D73</f>
        <v>0.66006466900000005</v>
      </c>
      <c r="G73" s="12">
        <v>100</v>
      </c>
      <c r="H73" s="13">
        <v>100000</v>
      </c>
      <c r="I73" s="13">
        <f t="shared" ref="I73:I81" si="38">(C73-B73)/G73</f>
        <v>1.0584356399999972E-3</v>
      </c>
      <c r="J73" s="13">
        <f t="shared" ref="J73:J81" si="39">(D73-0)/H73</f>
        <v>8.399353309999999E-6</v>
      </c>
      <c r="K73" s="7">
        <f t="shared" si="32"/>
        <v>126.01394428066955</v>
      </c>
      <c r="L73" s="58"/>
      <c r="M73" s="18">
        <f>L72/I73</f>
        <v>134970.07985969109</v>
      </c>
      <c r="N73" s="13">
        <f t="shared" si="33"/>
        <v>4.2337425599999881E-2</v>
      </c>
      <c r="O73" s="7">
        <f t="shared" si="34"/>
        <v>2976.4196215244106</v>
      </c>
      <c r="X73" s="38">
        <v>6.9999999999999999E-6</v>
      </c>
      <c r="Y73" s="37">
        <v>1E-3</v>
      </c>
      <c r="Z73" s="37">
        <f t="shared" si="35"/>
        <v>142.85714285714286</v>
      </c>
    </row>
    <row r="74" spans="1:26" x14ac:dyDescent="0.3">
      <c r="A74" s="12">
        <v>1.5</v>
      </c>
      <c r="B74" s="12">
        <v>-4</v>
      </c>
      <c r="C74" s="41">
        <v>-3.8945235459999998</v>
      </c>
      <c r="D74" s="41">
        <v>0.83993533200000003</v>
      </c>
      <c r="E74" s="29">
        <f t="shared" si="36"/>
        <v>5.3945235460000003</v>
      </c>
      <c r="F74" s="4">
        <f t="shared" si="37"/>
        <v>0.66006466799999997</v>
      </c>
      <c r="G74" s="12">
        <v>100</v>
      </c>
      <c r="H74" s="13">
        <v>100000</v>
      </c>
      <c r="I74" s="13">
        <f t="shared" si="38"/>
        <v>1.0547645400000017E-3</v>
      </c>
      <c r="J74" s="13">
        <f t="shared" si="39"/>
        <v>8.3993533200000005E-6</v>
      </c>
      <c r="K74" s="7">
        <f t="shared" si="32"/>
        <v>125.57687476825913</v>
      </c>
      <c r="L74" s="58"/>
      <c r="M74" s="18">
        <f>L72/I74</f>
        <v>135439.84220131504</v>
      </c>
      <c r="N74" s="13">
        <f t="shared" si="33"/>
        <v>4.2190581600000061E-2</v>
      </c>
      <c r="O74" s="7">
        <f t="shared" si="34"/>
        <v>2976.4196179807805</v>
      </c>
      <c r="Z74" s="1" t="e">
        <f t="shared" si="35"/>
        <v>#DIV/0!</v>
      </c>
    </row>
    <row r="75" spans="1:26" x14ac:dyDescent="0.3">
      <c r="A75" s="12">
        <v>1.5</v>
      </c>
      <c r="B75" s="12">
        <v>-3.5</v>
      </c>
      <c r="C75" s="41">
        <v>-3.3948906559999998</v>
      </c>
      <c r="D75" s="41">
        <v>0.83993533300000001</v>
      </c>
      <c r="E75" s="29">
        <f t="shared" si="36"/>
        <v>4.8948906559999994</v>
      </c>
      <c r="F75" s="4">
        <f t="shared" si="37"/>
        <v>0.66006466699999999</v>
      </c>
      <c r="G75" s="12">
        <v>100</v>
      </c>
      <c r="H75" s="13">
        <v>100000</v>
      </c>
      <c r="I75" s="13">
        <f t="shared" si="38"/>
        <v>1.0510934400000016E-3</v>
      </c>
      <c r="J75" s="13">
        <f t="shared" si="39"/>
        <v>8.3993533300000003E-6</v>
      </c>
      <c r="K75" s="7">
        <f t="shared" si="32"/>
        <v>125.13980525688893</v>
      </c>
      <c r="L75" s="58"/>
      <c r="M75" s="18">
        <f>L72/I75</f>
        <v>135912.88597248084</v>
      </c>
      <c r="N75" s="13">
        <f t="shared" si="33"/>
        <v>4.2043737600000061E-2</v>
      </c>
      <c r="O75" s="7">
        <f t="shared" si="34"/>
        <v>2976.4196144371508</v>
      </c>
      <c r="Z75" s="1" t="e">
        <f t="shared" si="35"/>
        <v>#DIV/0!</v>
      </c>
    </row>
    <row r="76" spans="1:26" x14ac:dyDescent="0.3">
      <c r="A76" s="12">
        <v>1.5</v>
      </c>
      <c r="B76" s="12">
        <v>-3</v>
      </c>
      <c r="C76" s="41">
        <v>-2.8952577659999998</v>
      </c>
      <c r="D76" s="41">
        <v>0.83993533399999998</v>
      </c>
      <c r="E76" s="29">
        <f t="shared" si="36"/>
        <v>4.3952577660000003</v>
      </c>
      <c r="F76" s="4">
        <f t="shared" si="37"/>
        <v>0.66006466600000002</v>
      </c>
      <c r="G76" s="12">
        <v>100</v>
      </c>
      <c r="H76" s="13">
        <v>100000</v>
      </c>
      <c r="I76" s="13">
        <f t="shared" si="38"/>
        <v>1.0474223400000016E-3</v>
      </c>
      <c r="J76" s="13">
        <f t="shared" si="39"/>
        <v>8.3993533400000001E-6</v>
      </c>
      <c r="K76" s="7">
        <f t="shared" si="32"/>
        <v>124.70273574655945</v>
      </c>
      <c r="L76" s="58"/>
      <c r="M76" s="18">
        <f>L72/I76</f>
        <v>136389.24567633591</v>
      </c>
      <c r="N76" s="13">
        <f t="shared" si="33"/>
        <v>4.1896893600000061E-2</v>
      </c>
      <c r="O76" s="7">
        <f t="shared" si="34"/>
        <v>2976.4196108935216</v>
      </c>
      <c r="Z76" s="1" t="e">
        <f t="shared" si="35"/>
        <v>#DIV/0!</v>
      </c>
    </row>
    <row r="77" spans="1:26" x14ac:dyDescent="0.3">
      <c r="A77" s="12">
        <v>1.5</v>
      </c>
      <c r="B77" s="12">
        <v>-2.5</v>
      </c>
      <c r="C77" s="41">
        <v>-2.3956248759999998</v>
      </c>
      <c r="D77" s="41">
        <v>0.83993533499999995</v>
      </c>
      <c r="E77" s="29">
        <f t="shared" si="36"/>
        <v>3.8956248759999998</v>
      </c>
      <c r="F77" s="4">
        <f t="shared" si="37"/>
        <v>0.66006466500000005</v>
      </c>
      <c r="G77" s="12">
        <v>100</v>
      </c>
      <c r="H77" s="13">
        <v>100000</v>
      </c>
      <c r="I77" s="13">
        <f t="shared" si="38"/>
        <v>1.0437512400000015E-3</v>
      </c>
      <c r="J77" s="13">
        <f t="shared" si="39"/>
        <v>8.39935335E-6</v>
      </c>
      <c r="K77" s="7">
        <f t="shared" si="32"/>
        <v>124.26566623727069</v>
      </c>
      <c r="L77" s="58"/>
      <c r="M77" s="18">
        <f>L72/I77</f>
        <v>136868.95630144846</v>
      </c>
      <c r="N77" s="13">
        <f t="shared" si="33"/>
        <v>4.1750049600000061E-2</v>
      </c>
      <c r="O77" s="7">
        <f t="shared" si="34"/>
        <v>2976.419607349892</v>
      </c>
      <c r="Z77" s="1" t="e">
        <f t="shared" si="35"/>
        <v>#DIV/0!</v>
      </c>
    </row>
    <row r="78" spans="1:26" x14ac:dyDescent="0.3">
      <c r="A78" s="12">
        <v>1.5</v>
      </c>
      <c r="B78" s="12">
        <v>-2</v>
      </c>
      <c r="C78" s="41">
        <v>-1.895991985</v>
      </c>
      <c r="D78" s="41">
        <v>0.83993533600000003</v>
      </c>
      <c r="E78" s="29">
        <f t="shared" si="36"/>
        <v>3.3959919850000002</v>
      </c>
      <c r="F78" s="4">
        <f t="shared" si="37"/>
        <v>0.66006466399999997</v>
      </c>
      <c r="G78" s="12">
        <v>100</v>
      </c>
      <c r="H78" s="13">
        <v>100000</v>
      </c>
      <c r="I78" s="13">
        <f t="shared" si="38"/>
        <v>1.0400801500000001E-3</v>
      </c>
      <c r="J78" s="13">
        <f t="shared" si="39"/>
        <v>8.3993533599999998E-6</v>
      </c>
      <c r="K78" s="7">
        <f t="shared" si="32"/>
        <v>123.82859791959034</v>
      </c>
      <c r="L78" s="58"/>
      <c r="M78" s="18">
        <f>L72/I78</f>
        <v>137352.05200978293</v>
      </c>
      <c r="N78" s="13">
        <f t="shared" si="33"/>
        <v>4.1603206000000004E-2</v>
      </c>
      <c r="O78" s="7">
        <f t="shared" si="34"/>
        <v>2976.4196038062628</v>
      </c>
      <c r="Z78" s="1" t="e">
        <f t="shared" si="35"/>
        <v>#DIV/0!</v>
      </c>
    </row>
    <row r="79" spans="1:26" x14ac:dyDescent="0.3">
      <c r="A79" s="12">
        <v>1.5</v>
      </c>
      <c r="B79" s="12">
        <v>-1.5</v>
      </c>
      <c r="C79" s="41">
        <v>-1.396359095</v>
      </c>
      <c r="D79" s="41">
        <v>0.839935337</v>
      </c>
      <c r="E79" s="29">
        <f t="shared" si="36"/>
        <v>2.8963590950000002</v>
      </c>
      <c r="F79" s="4">
        <f t="shared" si="37"/>
        <v>0.660064663</v>
      </c>
      <c r="G79" s="12">
        <v>100</v>
      </c>
      <c r="H79" s="13">
        <v>100000</v>
      </c>
      <c r="I79" s="13">
        <f t="shared" si="38"/>
        <v>1.0364090500000001E-3</v>
      </c>
      <c r="J79" s="13">
        <f t="shared" si="39"/>
        <v>8.3993533699999996E-6</v>
      </c>
      <c r="K79" s="7">
        <f t="shared" si="32"/>
        <v>123.39152841238302</v>
      </c>
      <c r="L79" s="58"/>
      <c r="M79" s="18">
        <f>L72/I79</f>
        <v>137838.57141844029</v>
      </c>
      <c r="N79" s="13">
        <f t="shared" si="33"/>
        <v>4.1456362000000004E-2</v>
      </c>
      <c r="O79" s="7">
        <f t="shared" si="34"/>
        <v>2976.4196002626336</v>
      </c>
      <c r="Z79" s="1" t="e">
        <f t="shared" si="35"/>
        <v>#DIV/0!</v>
      </c>
    </row>
    <row r="80" spans="1:26" x14ac:dyDescent="0.3">
      <c r="A80" s="12">
        <v>1.5</v>
      </c>
      <c r="B80" s="12">
        <v>-1</v>
      </c>
      <c r="C80" s="41">
        <v>-0.896726205</v>
      </c>
      <c r="D80" s="41">
        <v>0.83993533799999998</v>
      </c>
      <c r="E80" s="29">
        <f t="shared" si="36"/>
        <v>2.3967262050000002</v>
      </c>
      <c r="F80" s="4">
        <f t="shared" si="37"/>
        <v>0.66006466200000002</v>
      </c>
      <c r="G80" s="12">
        <v>100</v>
      </c>
      <c r="H80" s="13">
        <v>100000</v>
      </c>
      <c r="I80" s="13">
        <f t="shared" si="38"/>
        <v>1.03273795E-3</v>
      </c>
      <c r="J80" s="13">
        <f t="shared" si="39"/>
        <v>8.3993533799999994E-6</v>
      </c>
      <c r="K80" s="7">
        <f t="shared" si="32"/>
        <v>122.95445890621643</v>
      </c>
      <c r="L80" s="58"/>
      <c r="M80" s="18">
        <f>L72/I80</f>
        <v>138328.54971306404</v>
      </c>
      <c r="N80" s="13">
        <f t="shared" si="33"/>
        <v>4.1309517999999996E-2</v>
      </c>
      <c r="O80" s="7">
        <f t="shared" si="34"/>
        <v>2976.4195967190039</v>
      </c>
      <c r="Z80" s="1" t="e">
        <f t="shared" si="35"/>
        <v>#DIV/0!</v>
      </c>
    </row>
    <row r="81" spans="1:26" x14ac:dyDescent="0.3">
      <c r="A81" s="62">
        <v>1.5</v>
      </c>
      <c r="B81" s="62">
        <v>-0.5</v>
      </c>
      <c r="C81" s="81">
        <v>-0.397093315</v>
      </c>
      <c r="D81" s="81">
        <v>0.83993533899999995</v>
      </c>
      <c r="E81" s="83">
        <f t="shared" si="36"/>
        <v>1.897093315</v>
      </c>
      <c r="F81" s="84">
        <f t="shared" si="37"/>
        <v>0.66006466100000005</v>
      </c>
      <c r="G81" s="62">
        <v>100</v>
      </c>
      <c r="H81" s="64">
        <v>100000</v>
      </c>
      <c r="I81" s="64">
        <f t="shared" si="38"/>
        <v>1.02906685E-3</v>
      </c>
      <c r="J81" s="64">
        <f t="shared" si="39"/>
        <v>8.3993533899999993E-6</v>
      </c>
      <c r="K81" s="65">
        <f t="shared" si="32"/>
        <v>122.51738940109057</v>
      </c>
      <c r="L81" s="58"/>
      <c r="M81" s="66">
        <f>L72/I81</f>
        <v>138822.02391141339</v>
      </c>
      <c r="N81" s="64">
        <f t="shared" si="33"/>
        <v>4.1162673999999996E-2</v>
      </c>
      <c r="O81" s="65">
        <f t="shared" si="34"/>
        <v>2976.4195931753748</v>
      </c>
      <c r="Z81" s="1" t="e">
        <f t="shared" si="35"/>
        <v>#DIV/0!</v>
      </c>
    </row>
    <row r="82" spans="1:26" x14ac:dyDescent="0.3">
      <c r="A82" s="8">
        <v>1</v>
      </c>
      <c r="B82" s="8">
        <v>-5</v>
      </c>
      <c r="C82" s="42">
        <v>-4.9556338459999996</v>
      </c>
      <c r="D82" s="42">
        <v>0.37101543199999998</v>
      </c>
      <c r="E82" s="26">
        <f>A82-C82</f>
        <v>5.9556338459999996</v>
      </c>
      <c r="F82" s="2">
        <f>A82-D82</f>
        <v>0.62898456800000002</v>
      </c>
      <c r="G82" s="8">
        <v>100</v>
      </c>
      <c r="H82" s="9">
        <v>100000</v>
      </c>
      <c r="I82" s="9">
        <f>(C82-B82)/G82</f>
        <v>4.4366154000000433E-4</v>
      </c>
      <c r="J82" s="9">
        <f>(D82-0)/H82</f>
        <v>3.71015432E-6</v>
      </c>
      <c r="K82" s="5">
        <f t="shared" si="32"/>
        <v>119.58034672800466</v>
      </c>
      <c r="L82" s="55">
        <f>Z83</f>
        <v>133.33333333333334</v>
      </c>
      <c r="M82" s="16">
        <f>L82/I82</f>
        <v>300529.39304437354</v>
      </c>
      <c r="N82" s="9">
        <f t="shared" si="33"/>
        <v>1.7746461600000173E-2</v>
      </c>
      <c r="O82" s="5">
        <f t="shared" si="34"/>
        <v>6738.2641916630573</v>
      </c>
      <c r="Z82" s="1" t="e">
        <f t="shared" si="35"/>
        <v>#DIV/0!</v>
      </c>
    </row>
    <row r="83" spans="1:26" x14ac:dyDescent="0.3">
      <c r="A83" s="8">
        <v>1</v>
      </c>
      <c r="B83" s="8">
        <v>-4.5</v>
      </c>
      <c r="C83" s="42">
        <v>-4.4557868120000004</v>
      </c>
      <c r="D83" s="42">
        <v>0.371015447</v>
      </c>
      <c r="E83" s="26">
        <f t="shared" ref="E83:E91" si="40">A83-C83</f>
        <v>5.4557868120000004</v>
      </c>
      <c r="F83" s="2">
        <f t="shared" ref="F83:F91" si="41">A83-D83</f>
        <v>0.628984553</v>
      </c>
      <c r="G83" s="8">
        <v>100</v>
      </c>
      <c r="H83" s="9">
        <v>100000</v>
      </c>
      <c r="I83" s="9">
        <f t="shared" ref="I83:I91" si="42">(C83-B83)/G83</f>
        <v>4.4213187999999628E-4</v>
      </c>
      <c r="J83" s="9">
        <f t="shared" ref="J83:J91" si="43">(D83-0)/H83</f>
        <v>3.7101544699999999E-6</v>
      </c>
      <c r="K83" s="5">
        <f t="shared" si="32"/>
        <v>119.16805178195082</v>
      </c>
      <c r="L83" s="58"/>
      <c r="M83" s="16">
        <f>L82/I83</f>
        <v>301569.14568869013</v>
      </c>
      <c r="N83" s="9">
        <f t="shared" si="33"/>
        <v>1.768527519999985E-2</v>
      </c>
      <c r="O83" s="5">
        <f t="shared" si="34"/>
        <v>6738.2639192378429</v>
      </c>
      <c r="X83" s="38">
        <v>3.0000000000000001E-6</v>
      </c>
      <c r="Y83" s="37">
        <v>4.0000000000000002E-4</v>
      </c>
      <c r="Z83" s="37">
        <f t="shared" si="35"/>
        <v>133.33333333333334</v>
      </c>
    </row>
    <row r="84" spans="1:26" x14ac:dyDescent="0.3">
      <c r="A84" s="8">
        <v>1</v>
      </c>
      <c r="B84" s="8">
        <v>-4</v>
      </c>
      <c r="C84" s="42">
        <v>-3.9559397839999999</v>
      </c>
      <c r="D84" s="42">
        <v>0.371015435</v>
      </c>
      <c r="E84" s="26">
        <f t="shared" si="40"/>
        <v>4.9559397839999999</v>
      </c>
      <c r="F84" s="2">
        <f t="shared" si="41"/>
        <v>0.628984565</v>
      </c>
      <c r="G84" s="8">
        <v>100</v>
      </c>
      <c r="H84" s="9">
        <v>100000</v>
      </c>
      <c r="I84" s="9">
        <f t="shared" si="42"/>
        <v>4.4060216000000094E-4</v>
      </c>
      <c r="J84" s="9">
        <f t="shared" si="43"/>
        <v>3.7101543499999999E-6</v>
      </c>
      <c r="K84" s="5">
        <f t="shared" si="32"/>
        <v>118.755749339647</v>
      </c>
      <c r="L84" s="58"/>
      <c r="M84" s="16">
        <f>L82/I84</f>
        <v>302616.15906134702</v>
      </c>
      <c r="N84" s="9">
        <f t="shared" si="33"/>
        <v>1.7624086400000037E-2</v>
      </c>
      <c r="O84" s="5">
        <f t="shared" si="34"/>
        <v>6738.2641371780128</v>
      </c>
      <c r="Z84" s="1" t="e">
        <f t="shared" si="35"/>
        <v>#DIV/0!</v>
      </c>
    </row>
    <row r="85" spans="1:26" x14ac:dyDescent="0.3">
      <c r="A85" s="8">
        <v>1</v>
      </c>
      <c r="B85" s="8">
        <v>-3.5</v>
      </c>
      <c r="C85" s="42">
        <v>-3.4560927499999998</v>
      </c>
      <c r="D85" s="42">
        <v>0.37101545000000002</v>
      </c>
      <c r="E85" s="26">
        <f t="shared" si="40"/>
        <v>4.4560927499999998</v>
      </c>
      <c r="F85" s="2">
        <f t="shared" si="41"/>
        <v>0.62898454999999998</v>
      </c>
      <c r="G85" s="8">
        <v>100</v>
      </c>
      <c r="H85" s="9">
        <v>100000</v>
      </c>
      <c r="I85" s="9">
        <f t="shared" si="42"/>
        <v>4.3907250000000173E-4</v>
      </c>
      <c r="J85" s="9">
        <f t="shared" si="43"/>
        <v>3.7101545000000002E-6</v>
      </c>
      <c r="K85" s="5">
        <f t="shared" si="32"/>
        <v>118.34345443026744</v>
      </c>
      <c r="L85" s="58"/>
      <c r="M85" s="16">
        <f>L82/I85</f>
        <v>303670.42648613342</v>
      </c>
      <c r="N85" s="9">
        <f t="shared" si="33"/>
        <v>1.7562900000000069E-2</v>
      </c>
      <c r="O85" s="5">
        <f t="shared" si="34"/>
        <v>6738.263864752802</v>
      </c>
      <c r="Z85" s="1" t="e">
        <f t="shared" si="35"/>
        <v>#DIV/0!</v>
      </c>
    </row>
    <row r="86" spans="1:26" x14ac:dyDescent="0.3">
      <c r="A86" s="8">
        <v>1</v>
      </c>
      <c r="B86" s="8">
        <v>-3</v>
      </c>
      <c r="C86" s="42">
        <v>-2.9562457219999998</v>
      </c>
      <c r="D86" s="42">
        <v>0.37101543799999998</v>
      </c>
      <c r="E86" s="26">
        <f t="shared" si="40"/>
        <v>3.9562457219999998</v>
      </c>
      <c r="F86" s="2">
        <f t="shared" si="41"/>
        <v>0.62898456200000008</v>
      </c>
      <c r="G86" s="8">
        <v>100</v>
      </c>
      <c r="H86" s="9">
        <v>100000</v>
      </c>
      <c r="I86" s="9">
        <f t="shared" si="42"/>
        <v>4.37542780000002E-4</v>
      </c>
      <c r="J86" s="9">
        <f t="shared" si="43"/>
        <v>3.7101543799999998E-6</v>
      </c>
      <c r="K86" s="5">
        <f t="shared" si="32"/>
        <v>117.9311519646258</v>
      </c>
      <c r="L86" s="58"/>
      <c r="M86" s="16">
        <f>L82/I86</f>
        <v>304732.10718579963</v>
      </c>
      <c r="N86" s="9">
        <f t="shared" si="33"/>
        <v>1.7501711200000079E-2</v>
      </c>
      <c r="O86" s="5">
        <f t="shared" si="34"/>
        <v>6738.2640826929692</v>
      </c>
      <c r="Z86" s="1" t="e">
        <f t="shared" si="35"/>
        <v>#DIV/0!</v>
      </c>
    </row>
    <row r="87" spans="1:26" x14ac:dyDescent="0.3">
      <c r="A87" s="8">
        <v>1</v>
      </c>
      <c r="B87" s="8">
        <v>-2.5</v>
      </c>
      <c r="C87" s="42">
        <v>-2.4563986880000002</v>
      </c>
      <c r="D87" s="42">
        <v>0.371015453</v>
      </c>
      <c r="E87" s="26">
        <f t="shared" si="40"/>
        <v>3.4563986880000002</v>
      </c>
      <c r="F87" s="2">
        <f t="shared" si="41"/>
        <v>0.62898454699999995</v>
      </c>
      <c r="G87" s="8">
        <v>100</v>
      </c>
      <c r="H87" s="9">
        <v>100000</v>
      </c>
      <c r="I87" s="9">
        <f t="shared" si="42"/>
        <v>4.3601311999999834E-4</v>
      </c>
      <c r="J87" s="9">
        <f t="shared" si="43"/>
        <v>3.7101545300000001E-6</v>
      </c>
      <c r="K87" s="5">
        <f t="shared" si="32"/>
        <v>117.51885709191696</v>
      </c>
      <c r="L87" s="58"/>
      <c r="M87" s="16">
        <f>L82/I87</f>
        <v>305801.19546249858</v>
      </c>
      <c r="N87" s="9">
        <f t="shared" si="33"/>
        <v>1.7440524799999933E-2</v>
      </c>
      <c r="O87" s="5">
        <f t="shared" si="34"/>
        <v>6738.2638102677629</v>
      </c>
      <c r="Z87" s="1" t="e">
        <f t="shared" si="35"/>
        <v>#DIV/0!</v>
      </c>
    </row>
    <row r="88" spans="1:26" x14ac:dyDescent="0.3">
      <c r="A88" s="8">
        <v>1</v>
      </c>
      <c r="B88" s="8">
        <v>-2</v>
      </c>
      <c r="C88" s="42">
        <v>-1.9565516590000001</v>
      </c>
      <c r="D88" s="42">
        <v>0.371015441</v>
      </c>
      <c r="E88" s="26">
        <f t="shared" si="40"/>
        <v>2.9565516590000001</v>
      </c>
      <c r="F88" s="2">
        <f t="shared" si="41"/>
        <v>0.62898455900000005</v>
      </c>
      <c r="G88" s="8">
        <v>100</v>
      </c>
      <c r="H88" s="9">
        <v>100000</v>
      </c>
      <c r="I88" s="9">
        <f t="shared" si="42"/>
        <v>4.3448340999999944E-4</v>
      </c>
      <c r="J88" s="9">
        <f t="shared" si="43"/>
        <v>3.7101544100000001E-6</v>
      </c>
      <c r="K88" s="5">
        <f t="shared" si="32"/>
        <v>117.10655729824448</v>
      </c>
      <c r="L88" s="58"/>
      <c r="M88" s="16">
        <f>L82/I88</f>
        <v>306877.84680509096</v>
      </c>
      <c r="N88" s="9">
        <f t="shared" si="33"/>
        <v>1.7379336399999976E-2</v>
      </c>
      <c r="O88" s="5">
        <f t="shared" si="34"/>
        <v>6738.2640282079255</v>
      </c>
      <c r="Z88" s="1" t="e">
        <f t="shared" si="35"/>
        <v>#DIV/0!</v>
      </c>
    </row>
    <row r="89" spans="1:26" x14ac:dyDescent="0.3">
      <c r="A89" s="8">
        <v>1</v>
      </c>
      <c r="B89" s="8">
        <v>-1.5</v>
      </c>
      <c r="C89" s="42">
        <v>-1.456704625</v>
      </c>
      <c r="D89" s="42">
        <v>0.37101545600000002</v>
      </c>
      <c r="E89" s="26">
        <f t="shared" si="40"/>
        <v>2.456704625</v>
      </c>
      <c r="F89" s="2">
        <f t="shared" si="41"/>
        <v>0.62898454399999992</v>
      </c>
      <c r="G89" s="8">
        <v>100</v>
      </c>
      <c r="H89" s="9">
        <v>100000</v>
      </c>
      <c r="I89" s="9">
        <f t="shared" si="42"/>
        <v>4.3295375000000023E-4</v>
      </c>
      <c r="J89" s="9">
        <f t="shared" si="43"/>
        <v>3.7101545600000004E-6</v>
      </c>
      <c r="K89" s="5">
        <f t="shared" si="32"/>
        <v>116.69426246220863</v>
      </c>
      <c r="L89" s="58"/>
      <c r="M89" s="16">
        <f>L82/I89</f>
        <v>307962.07062147692</v>
      </c>
      <c r="N89" s="9">
        <f t="shared" si="33"/>
        <v>1.7318150000000008E-2</v>
      </c>
      <c r="O89" s="5">
        <f t="shared" si="34"/>
        <v>6738.2637557827238</v>
      </c>
      <c r="Z89" s="1" t="e">
        <f t="shared" si="35"/>
        <v>#DIV/0!</v>
      </c>
    </row>
    <row r="90" spans="1:26" x14ac:dyDescent="0.3">
      <c r="A90" s="8">
        <v>1</v>
      </c>
      <c r="B90" s="8">
        <v>-1</v>
      </c>
      <c r="C90" s="42">
        <v>-0.95685759699999995</v>
      </c>
      <c r="D90" s="42">
        <v>0.37101544400000003</v>
      </c>
      <c r="E90" s="26">
        <f t="shared" si="40"/>
        <v>1.9568575969999999</v>
      </c>
      <c r="F90" s="2">
        <f t="shared" si="41"/>
        <v>0.62898455600000003</v>
      </c>
      <c r="G90" s="8">
        <v>100</v>
      </c>
      <c r="H90" s="9">
        <v>100000</v>
      </c>
      <c r="I90" s="9">
        <f t="shared" si="42"/>
        <v>4.314240300000005E-4</v>
      </c>
      <c r="J90" s="9">
        <f t="shared" si="43"/>
        <v>3.7101544400000004E-6</v>
      </c>
      <c r="K90" s="5">
        <f t="shared" si="32"/>
        <v>116.28195994989375</v>
      </c>
      <c r="L90" s="58"/>
      <c r="M90" s="16">
        <f>L82/I90</f>
        <v>309054.02588106459</v>
      </c>
      <c r="N90" s="9">
        <f t="shared" si="33"/>
        <v>1.7256961200000018E-2</v>
      </c>
      <c r="O90" s="5">
        <f t="shared" si="34"/>
        <v>6738.2639737228828</v>
      </c>
      <c r="Z90" s="1" t="e">
        <f t="shared" si="35"/>
        <v>#DIV/0!</v>
      </c>
    </row>
    <row r="91" spans="1:26" x14ac:dyDescent="0.3">
      <c r="A91" s="8">
        <v>1</v>
      </c>
      <c r="B91" s="8">
        <v>-0.5</v>
      </c>
      <c r="C91" s="42">
        <v>-0.45701056299999998</v>
      </c>
      <c r="D91" s="42">
        <v>0.37101545899999999</v>
      </c>
      <c r="E91" s="26">
        <f t="shared" si="40"/>
        <v>1.4570105629999999</v>
      </c>
      <c r="F91" s="2">
        <f t="shared" si="41"/>
        <v>0.62898454100000001</v>
      </c>
      <c r="G91" s="8">
        <v>100</v>
      </c>
      <c r="H91" s="9">
        <v>100000</v>
      </c>
      <c r="I91" s="9">
        <f t="shared" si="42"/>
        <v>4.298943700000002E-4</v>
      </c>
      <c r="J91" s="9">
        <f t="shared" si="43"/>
        <v>3.7101545899999999E-6</v>
      </c>
      <c r="K91" s="5">
        <f t="shared" si="32"/>
        <v>115.86966515052954</v>
      </c>
      <c r="L91" s="58"/>
      <c r="M91" s="16">
        <f>L82/I91</f>
        <v>310153.70899910433</v>
      </c>
      <c r="N91" s="9">
        <f t="shared" si="33"/>
        <v>1.7195774800000008E-2</v>
      </c>
      <c r="O91" s="5">
        <f t="shared" si="34"/>
        <v>6738.2637012976866</v>
      </c>
      <c r="Z91" s="1" t="e">
        <f t="shared" si="35"/>
        <v>#DIV/0!</v>
      </c>
    </row>
  </sheetData>
  <mergeCells count="9">
    <mergeCell ref="L62:L71"/>
    <mergeCell ref="L72:L81"/>
    <mergeCell ref="L82:L91"/>
    <mergeCell ref="L22:L31"/>
    <mergeCell ref="L2:L11"/>
    <mergeCell ref="L12:L21"/>
    <mergeCell ref="L32:L41"/>
    <mergeCell ref="L42:L51"/>
    <mergeCell ref="L52:L61"/>
  </mergeCells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1"/>
  <sheetViews>
    <sheetView topLeftCell="A64" workbookViewId="0">
      <selection activeCell="M81" sqref="M81:O81"/>
    </sheetView>
  </sheetViews>
  <sheetFormatPr defaultColWidth="9" defaultRowHeight="14.4" x14ac:dyDescent="0.3"/>
  <cols>
    <col min="1" max="1" width="8.88671875" style="1" bestFit="1" customWidth="1"/>
    <col min="2" max="2" width="8.5546875" style="1" bestFit="1" customWidth="1"/>
    <col min="3" max="4" width="14.109375" style="1" bestFit="1" customWidth="1"/>
    <col min="5" max="5" width="10" style="20" bestFit="1" customWidth="1"/>
    <col min="6" max="6" width="12.33203125" style="19" bestFit="1" customWidth="1"/>
    <col min="7" max="8" width="9.109375" style="1" bestFit="1" customWidth="1"/>
    <col min="9" max="10" width="9" style="1" bestFit="1" customWidth="1"/>
    <col min="11" max="11" width="8.33203125" style="1" bestFit="1" customWidth="1"/>
    <col min="12" max="12" width="10.44140625" style="15" bestFit="1" customWidth="1"/>
    <col min="13" max="13" width="9" style="15" bestFit="1" customWidth="1"/>
    <col min="14" max="14" width="13.33203125" style="14" bestFit="1" customWidth="1"/>
    <col min="15" max="15" width="12.33203125" style="15" bestFit="1" customWidth="1"/>
    <col min="16" max="25" width="9" style="1"/>
    <col min="26" max="26" width="11.44140625" style="1" customWidth="1"/>
    <col min="27" max="16384" width="9" style="1"/>
  </cols>
  <sheetData>
    <row r="1" spans="1:26" x14ac:dyDescent="0.3">
      <c r="A1" s="1" t="s">
        <v>26</v>
      </c>
      <c r="B1" s="1" t="s">
        <v>27</v>
      </c>
      <c r="C1" s="1" t="s">
        <v>24</v>
      </c>
      <c r="D1" s="1" t="s">
        <v>25</v>
      </c>
      <c r="E1" s="20" t="s">
        <v>28</v>
      </c>
      <c r="F1" s="19" t="s">
        <v>29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5" t="s">
        <v>11</v>
      </c>
      <c r="M1" s="15" t="s">
        <v>12</v>
      </c>
      <c r="N1" s="14" t="s">
        <v>13</v>
      </c>
      <c r="O1" s="15" t="s">
        <v>14</v>
      </c>
    </row>
    <row r="2" spans="1:26" x14ac:dyDescent="0.3">
      <c r="A2" s="8">
        <v>5</v>
      </c>
      <c r="B2" s="8">
        <v>-5</v>
      </c>
      <c r="C2" s="30">
        <v>-2.6767400000000001</v>
      </c>
      <c r="D2" s="30">
        <v>4.3555999999999999</v>
      </c>
      <c r="E2" s="26">
        <f>A2-C2</f>
        <v>7.6767400000000006</v>
      </c>
      <c r="F2" s="2">
        <f>A2-D2</f>
        <v>0.64440000000000008</v>
      </c>
      <c r="G2" s="8">
        <v>100</v>
      </c>
      <c r="H2" s="9">
        <v>100000</v>
      </c>
      <c r="I2" s="9">
        <f>(C2-B2)/G2</f>
        <v>2.3232599999999999E-2</v>
      </c>
      <c r="J2" s="9">
        <f>(D2-0)/H2</f>
        <v>4.3556000000000001E-5</v>
      </c>
      <c r="K2" s="5">
        <f t="shared" ref="K2:K65" si="0">I2/J2</f>
        <v>533.39608779502248</v>
      </c>
      <c r="L2" s="55">
        <f>Z6</f>
        <v>31.166666666666671</v>
      </c>
      <c r="M2" s="16">
        <f>L2/I2</f>
        <v>1341.5057577140171</v>
      </c>
      <c r="N2" s="9">
        <f>I2/0.025</f>
        <v>0.92930399999999991</v>
      </c>
      <c r="O2" s="5">
        <f>0.025/J2</f>
        <v>573.97373496188811</v>
      </c>
      <c r="X2" s="36" t="s">
        <v>15</v>
      </c>
      <c r="Y2" s="36" t="s">
        <v>16</v>
      </c>
      <c r="Z2" s="36" t="s">
        <v>17</v>
      </c>
    </row>
    <row r="3" spans="1:26" x14ac:dyDescent="0.3">
      <c r="A3" s="8">
        <v>5</v>
      </c>
      <c r="B3" s="8">
        <v>-4.5</v>
      </c>
      <c r="C3" s="30">
        <v>-2.19672</v>
      </c>
      <c r="D3" s="30">
        <v>4.35304</v>
      </c>
      <c r="E3" s="26">
        <f t="shared" ref="E3:E11" si="1">A3-C3</f>
        <v>7.19672</v>
      </c>
      <c r="F3" s="2">
        <f t="shared" ref="F3:F11" si="2">A3-D3</f>
        <v>0.64695999999999998</v>
      </c>
      <c r="G3" s="8">
        <v>100</v>
      </c>
      <c r="H3" s="9">
        <v>100000</v>
      </c>
      <c r="I3" s="9">
        <f t="shared" ref="I3:I11" si="3">(C3-B3)/G3</f>
        <v>2.3032799999999999E-2</v>
      </c>
      <c r="J3" s="9">
        <f t="shared" ref="J3:J11" si="4">(D3-0)/H3</f>
        <v>4.3530399999999999E-5</v>
      </c>
      <c r="K3" s="5">
        <f t="shared" si="0"/>
        <v>529.11987944057489</v>
      </c>
      <c r="L3" s="58"/>
      <c r="M3" s="16">
        <f>L2/I3</f>
        <v>1353.1427645213205</v>
      </c>
      <c r="N3" s="9">
        <f t="shared" ref="N3:N66" si="5">I3/0.025</f>
        <v>0.92131199999999991</v>
      </c>
      <c r="O3" s="5">
        <f t="shared" ref="O3:O66" si="6">0.025/J3</f>
        <v>574.31128590594165</v>
      </c>
      <c r="X3" s="36" t="s">
        <v>18</v>
      </c>
      <c r="Y3" s="36" t="s">
        <v>19</v>
      </c>
      <c r="Z3" s="36" t="s">
        <v>20</v>
      </c>
    </row>
    <row r="4" spans="1:26" x14ac:dyDescent="0.3">
      <c r="A4" s="8">
        <v>5</v>
      </c>
      <c r="B4" s="8">
        <v>-4</v>
      </c>
      <c r="C4" s="30">
        <v>-1.7219</v>
      </c>
      <c r="D4" s="30">
        <v>4.35616</v>
      </c>
      <c r="E4" s="26">
        <f t="shared" si="1"/>
        <v>6.7218999999999998</v>
      </c>
      <c r="F4" s="2">
        <f t="shared" si="2"/>
        <v>0.64383999999999997</v>
      </c>
      <c r="G4" s="8">
        <v>100</v>
      </c>
      <c r="H4" s="9">
        <v>100000</v>
      </c>
      <c r="I4" s="9">
        <f t="shared" si="3"/>
        <v>2.2781000000000003E-2</v>
      </c>
      <c r="J4" s="9">
        <f t="shared" si="4"/>
        <v>4.35616E-5</v>
      </c>
      <c r="K4" s="5">
        <f t="shared" si="0"/>
        <v>522.96058914273124</v>
      </c>
      <c r="L4" s="58"/>
      <c r="M4" s="16">
        <f>L2/I4</f>
        <v>1368.0991469499438</v>
      </c>
      <c r="N4" s="9">
        <f t="shared" si="5"/>
        <v>0.91124000000000005</v>
      </c>
      <c r="O4" s="5">
        <f t="shared" si="6"/>
        <v>573.89994857856459</v>
      </c>
    </row>
    <row r="5" spans="1:26" x14ac:dyDescent="0.3">
      <c r="A5" s="8">
        <v>5</v>
      </c>
      <c r="B5" s="8">
        <v>-3.5</v>
      </c>
      <c r="C5" s="30">
        <v>-1.2477</v>
      </c>
      <c r="D5" s="30">
        <v>4.3536000000000001</v>
      </c>
      <c r="E5" s="26">
        <f t="shared" si="1"/>
        <v>6.2477</v>
      </c>
      <c r="F5" s="2">
        <f t="shared" si="2"/>
        <v>0.64639999999999986</v>
      </c>
      <c r="G5" s="8">
        <v>100</v>
      </c>
      <c r="H5" s="9">
        <v>100000</v>
      </c>
      <c r="I5" s="9">
        <f t="shared" si="3"/>
        <v>2.2523000000000001E-2</v>
      </c>
      <c r="J5" s="9">
        <f t="shared" si="4"/>
        <v>4.3536000000000005E-5</v>
      </c>
      <c r="K5" s="5">
        <f t="shared" si="0"/>
        <v>517.3419698640206</v>
      </c>
      <c r="L5" s="58"/>
      <c r="M5" s="16">
        <f>L2/I5</f>
        <v>1383.7706640619219</v>
      </c>
      <c r="N5" s="9">
        <f t="shared" si="5"/>
        <v>0.90092000000000005</v>
      </c>
      <c r="O5" s="5">
        <f t="shared" si="6"/>
        <v>574.23741271591325</v>
      </c>
      <c r="X5" s="34" t="s">
        <v>21</v>
      </c>
      <c r="Y5" s="34" t="s">
        <v>22</v>
      </c>
      <c r="Z5" s="34" t="s">
        <v>23</v>
      </c>
    </row>
    <row r="6" spans="1:26" x14ac:dyDescent="0.3">
      <c r="A6" s="8">
        <v>5</v>
      </c>
      <c r="B6" s="8">
        <v>-3</v>
      </c>
      <c r="C6" s="30">
        <v>-0.77422000000000002</v>
      </c>
      <c r="D6" s="30">
        <v>4.3545600000000002</v>
      </c>
      <c r="E6" s="26">
        <f t="shared" si="1"/>
        <v>5.7742199999999997</v>
      </c>
      <c r="F6" s="2">
        <f t="shared" si="2"/>
        <v>0.64543999999999979</v>
      </c>
      <c r="G6" s="8">
        <v>100</v>
      </c>
      <c r="H6" s="9">
        <v>100000</v>
      </c>
      <c r="I6" s="9">
        <f t="shared" si="3"/>
        <v>2.2257799999999998E-2</v>
      </c>
      <c r="J6" s="9">
        <f t="shared" si="4"/>
        <v>4.3545600000000005E-5</v>
      </c>
      <c r="K6" s="5">
        <f t="shared" si="0"/>
        <v>511.13774985302751</v>
      </c>
      <c r="L6" s="58"/>
      <c r="M6" s="16">
        <f>L2/I6</f>
        <v>1400.2581866431847</v>
      </c>
      <c r="N6" s="9">
        <f t="shared" si="5"/>
        <v>0.89031199999999988</v>
      </c>
      <c r="O6" s="5">
        <f t="shared" si="6"/>
        <v>574.11081716637273</v>
      </c>
      <c r="X6" s="37">
        <v>5.9999999999999995E-4</v>
      </c>
      <c r="Y6" s="37">
        <v>1.8700000000000001E-2</v>
      </c>
      <c r="Z6" s="37">
        <f>ABS(-Y6/X6)</f>
        <v>31.166666666666671</v>
      </c>
    </row>
    <row r="7" spans="1:26" x14ac:dyDescent="0.3">
      <c r="A7" s="8">
        <v>5</v>
      </c>
      <c r="B7" s="8">
        <v>-2.5</v>
      </c>
      <c r="C7" s="30">
        <v>-0.30271999999999999</v>
      </c>
      <c r="D7" s="30">
        <v>4.3516399999999997</v>
      </c>
      <c r="E7" s="26">
        <f t="shared" si="1"/>
        <v>5.3027199999999999</v>
      </c>
      <c r="F7" s="2">
        <f t="shared" si="2"/>
        <v>0.64836000000000027</v>
      </c>
      <c r="G7" s="8">
        <v>100</v>
      </c>
      <c r="H7" s="9">
        <v>100000</v>
      </c>
      <c r="I7" s="9">
        <f t="shared" si="3"/>
        <v>2.1972800000000001E-2</v>
      </c>
      <c r="J7" s="9">
        <f t="shared" si="4"/>
        <v>4.3516399999999996E-5</v>
      </c>
      <c r="K7" s="5">
        <f t="shared" si="0"/>
        <v>504.93147411090996</v>
      </c>
      <c r="L7" s="58"/>
      <c r="M7" s="16">
        <f>L2/I7</f>
        <v>1418.4203500084955</v>
      </c>
      <c r="N7" s="9">
        <f t="shared" si="5"/>
        <v>0.87891200000000003</v>
      </c>
      <c r="O7" s="5">
        <f t="shared" si="6"/>
        <v>574.49605206313026</v>
      </c>
      <c r="Z7" s="1" t="e">
        <f t="shared" ref="Z7:Z70" si="7">ABS(-Y7/X7)</f>
        <v>#DIV/0!</v>
      </c>
    </row>
    <row r="8" spans="1:26" x14ac:dyDescent="0.3">
      <c r="A8" s="8">
        <v>5</v>
      </c>
      <c r="B8" s="8">
        <v>-2</v>
      </c>
      <c r="C8" s="30">
        <v>0.16095999999999999</v>
      </c>
      <c r="D8" s="30">
        <v>4.3648600000000002</v>
      </c>
      <c r="E8" s="26">
        <f t="shared" si="1"/>
        <v>4.8390399999999998</v>
      </c>
      <c r="F8" s="2">
        <f t="shared" si="2"/>
        <v>0.63513999999999982</v>
      </c>
      <c r="G8" s="8">
        <v>100</v>
      </c>
      <c r="H8" s="9">
        <v>100000</v>
      </c>
      <c r="I8" s="9">
        <f t="shared" si="3"/>
        <v>2.1609600000000003E-2</v>
      </c>
      <c r="J8" s="9">
        <f t="shared" si="4"/>
        <v>4.3648600000000001E-5</v>
      </c>
      <c r="K8" s="5">
        <f t="shared" si="0"/>
        <v>495.08117098830212</v>
      </c>
      <c r="L8" s="58"/>
      <c r="M8" s="16">
        <f>L2/I8</f>
        <v>1442.2602300212252</v>
      </c>
      <c r="N8" s="9">
        <f t="shared" si="5"/>
        <v>0.86438400000000004</v>
      </c>
      <c r="O8" s="5">
        <f t="shared" si="6"/>
        <v>572.75605632253962</v>
      </c>
      <c r="Z8" s="1" t="e">
        <f t="shared" si="7"/>
        <v>#DIV/0!</v>
      </c>
    </row>
    <row r="9" spans="1:26" x14ac:dyDescent="0.3">
      <c r="A9" s="8">
        <v>5</v>
      </c>
      <c r="B9" s="8">
        <v>-1.5</v>
      </c>
      <c r="C9" s="30">
        <v>0.63141999999999998</v>
      </c>
      <c r="D9" s="30">
        <v>4.3619599999999998</v>
      </c>
      <c r="E9" s="26">
        <f t="shared" si="1"/>
        <v>4.3685799999999997</v>
      </c>
      <c r="F9" s="2">
        <f t="shared" si="2"/>
        <v>0.63804000000000016</v>
      </c>
      <c r="G9" s="8">
        <v>100</v>
      </c>
      <c r="H9" s="9">
        <v>100000</v>
      </c>
      <c r="I9" s="9">
        <f t="shared" si="3"/>
        <v>2.1314199999999998E-2</v>
      </c>
      <c r="J9" s="9">
        <f t="shared" si="4"/>
        <v>4.3619599999999998E-5</v>
      </c>
      <c r="K9" s="5">
        <f t="shared" si="0"/>
        <v>488.63813515025356</v>
      </c>
      <c r="L9" s="58"/>
      <c r="M9" s="16">
        <f>L2/I9</f>
        <v>1462.2489545310955</v>
      </c>
      <c r="N9" s="9">
        <f t="shared" si="5"/>
        <v>0.85256799999999988</v>
      </c>
      <c r="O9" s="5">
        <f t="shared" si="6"/>
        <v>573.13684673862213</v>
      </c>
      <c r="Z9" s="1" t="e">
        <f t="shared" si="7"/>
        <v>#DIV/0!</v>
      </c>
    </row>
    <row r="10" spans="1:26" x14ac:dyDescent="0.3">
      <c r="A10" s="8">
        <v>5</v>
      </c>
      <c r="B10" s="8">
        <v>-1</v>
      </c>
      <c r="C10" s="30">
        <v>1.10056</v>
      </c>
      <c r="D10" s="30">
        <v>4.3620399999999897</v>
      </c>
      <c r="E10" s="26">
        <f t="shared" si="1"/>
        <v>3.8994400000000002</v>
      </c>
      <c r="F10" s="2">
        <f t="shared" si="2"/>
        <v>0.6379600000000103</v>
      </c>
      <c r="G10" s="8">
        <v>100</v>
      </c>
      <c r="H10" s="9">
        <v>100000</v>
      </c>
      <c r="I10" s="9">
        <f t="shared" si="3"/>
        <v>2.1005599999999999E-2</v>
      </c>
      <c r="J10" s="9">
        <f t="shared" si="4"/>
        <v>4.3620399999999898E-5</v>
      </c>
      <c r="K10" s="5">
        <f t="shared" si="0"/>
        <v>481.5545020219908</v>
      </c>
      <c r="L10" s="58"/>
      <c r="M10" s="16">
        <f>L2/I10</f>
        <v>1483.7313224410002</v>
      </c>
      <c r="N10" s="9">
        <f t="shared" si="5"/>
        <v>0.84022399999999997</v>
      </c>
      <c r="O10" s="5">
        <f t="shared" si="6"/>
        <v>573.12633538436285</v>
      </c>
      <c r="Z10" s="1" t="e">
        <f t="shared" si="7"/>
        <v>#DIV/0!</v>
      </c>
    </row>
    <row r="11" spans="1:26" x14ac:dyDescent="0.3">
      <c r="A11" s="8">
        <v>5</v>
      </c>
      <c r="B11" s="8">
        <v>-0.5</v>
      </c>
      <c r="C11" s="30">
        <v>1.5679399999999999</v>
      </c>
      <c r="D11" s="30">
        <v>4.3589399999999996</v>
      </c>
      <c r="E11" s="26">
        <f t="shared" si="1"/>
        <v>3.4320599999999999</v>
      </c>
      <c r="F11" s="2">
        <f t="shared" si="2"/>
        <v>0.64106000000000041</v>
      </c>
      <c r="G11" s="8">
        <v>100</v>
      </c>
      <c r="H11" s="9">
        <v>100000</v>
      </c>
      <c r="I11" s="9">
        <f t="shared" si="3"/>
        <v>2.0679400000000001E-2</v>
      </c>
      <c r="J11" s="9">
        <f t="shared" si="4"/>
        <v>4.3589399999999993E-5</v>
      </c>
      <c r="K11" s="5">
        <f t="shared" si="0"/>
        <v>474.41350420056261</v>
      </c>
      <c r="L11" s="58"/>
      <c r="M11" s="16">
        <f>L2/I11</f>
        <v>1507.1359259295082</v>
      </c>
      <c r="N11" s="9">
        <f t="shared" si="5"/>
        <v>0.82717600000000002</v>
      </c>
      <c r="O11" s="5">
        <f t="shared" si="6"/>
        <v>573.5339325615862</v>
      </c>
      <c r="Z11" s="1" t="e">
        <f t="shared" si="7"/>
        <v>#DIV/0!</v>
      </c>
    </row>
    <row r="12" spans="1:26" x14ac:dyDescent="0.3">
      <c r="A12" s="21">
        <v>4.5</v>
      </c>
      <c r="B12" s="21">
        <v>-5</v>
      </c>
      <c r="C12" s="31">
        <v>-2.9428800000000002</v>
      </c>
      <c r="D12" s="31">
        <v>3.8602799999999999</v>
      </c>
      <c r="E12" s="27">
        <f>A12-C12</f>
        <v>7.4428800000000006</v>
      </c>
      <c r="F12" s="25">
        <f>A12-D12</f>
        <v>0.63972000000000007</v>
      </c>
      <c r="G12" s="21">
        <v>100</v>
      </c>
      <c r="H12" s="22">
        <v>100000</v>
      </c>
      <c r="I12" s="22">
        <f>(C12-B12)/G12</f>
        <v>2.0571199999999998E-2</v>
      </c>
      <c r="J12" s="22">
        <f>(D12-0)/H12</f>
        <v>3.8602800000000002E-5</v>
      </c>
      <c r="K12" s="23">
        <f t="shared" si="0"/>
        <v>532.89398696467606</v>
      </c>
      <c r="L12" s="56">
        <f>Z13</f>
        <v>27.166666666666668</v>
      </c>
      <c r="M12" s="24">
        <f>L12/I12</f>
        <v>1320.6165253688007</v>
      </c>
      <c r="N12" s="22">
        <f t="shared" si="5"/>
        <v>0.82284799999999991</v>
      </c>
      <c r="O12" s="23">
        <f t="shared" si="6"/>
        <v>647.62141606308353</v>
      </c>
      <c r="Z12" s="1" t="e">
        <f t="shared" si="7"/>
        <v>#DIV/0!</v>
      </c>
    </row>
    <row r="13" spans="1:26" x14ac:dyDescent="0.3">
      <c r="A13" s="21">
        <v>4.5</v>
      </c>
      <c r="B13" s="21">
        <v>-4.5</v>
      </c>
      <c r="C13" s="31">
        <v>-2.46644</v>
      </c>
      <c r="D13" s="31">
        <v>3.8603800000000001</v>
      </c>
      <c r="E13" s="27">
        <f t="shared" ref="E13:E21" si="8">A13-C13</f>
        <v>6.9664400000000004</v>
      </c>
      <c r="F13" s="25">
        <f t="shared" ref="F13:F21" si="9">A13-D13</f>
        <v>0.63961999999999986</v>
      </c>
      <c r="G13" s="21">
        <v>100</v>
      </c>
      <c r="H13" s="22">
        <v>100000</v>
      </c>
      <c r="I13" s="22">
        <f t="shared" ref="I13:I21" si="10">(C13-B13)/G13</f>
        <v>2.0335599999999999E-2</v>
      </c>
      <c r="J13" s="22">
        <f t="shared" ref="J13:J21" si="11">(D13-0)/H13</f>
        <v>3.8603800000000005E-5</v>
      </c>
      <c r="K13" s="23">
        <f t="shared" si="0"/>
        <v>526.77715665297194</v>
      </c>
      <c r="L13" s="59"/>
      <c r="M13" s="24">
        <f>L12/I13</f>
        <v>1335.9166519142129</v>
      </c>
      <c r="N13" s="22">
        <f t="shared" si="5"/>
        <v>0.81342399999999992</v>
      </c>
      <c r="O13" s="23">
        <f t="shared" si="6"/>
        <v>647.60463995772432</v>
      </c>
      <c r="X13" s="37">
        <v>5.9999999999999995E-4</v>
      </c>
      <c r="Y13" s="37">
        <v>1.6299999999999999E-2</v>
      </c>
      <c r="Z13" s="37">
        <f t="shared" si="7"/>
        <v>27.166666666666668</v>
      </c>
    </row>
    <row r="14" spans="1:26" x14ac:dyDescent="0.3">
      <c r="A14" s="21">
        <v>4.5</v>
      </c>
      <c r="B14" s="21">
        <v>-4</v>
      </c>
      <c r="C14" s="31">
        <v>-1.98824</v>
      </c>
      <c r="D14" s="31">
        <v>3.8575599999999999</v>
      </c>
      <c r="E14" s="27">
        <f t="shared" si="8"/>
        <v>6.4882400000000002</v>
      </c>
      <c r="F14" s="25">
        <f t="shared" si="9"/>
        <v>0.64244000000000012</v>
      </c>
      <c r="G14" s="21">
        <v>100</v>
      </c>
      <c r="H14" s="22">
        <v>100000</v>
      </c>
      <c r="I14" s="22">
        <f t="shared" si="10"/>
        <v>2.0117599999999999E-2</v>
      </c>
      <c r="J14" s="22">
        <f t="shared" si="11"/>
        <v>3.8575599999999997E-5</v>
      </c>
      <c r="K14" s="23">
        <f t="shared" si="0"/>
        <v>521.51100695776609</v>
      </c>
      <c r="L14" s="59"/>
      <c r="M14" s="24">
        <f>L12/I14</f>
        <v>1350.3930223618459</v>
      </c>
      <c r="N14" s="22">
        <f t="shared" si="5"/>
        <v>0.80470399999999997</v>
      </c>
      <c r="O14" s="23">
        <f t="shared" si="6"/>
        <v>648.0780597061356</v>
      </c>
      <c r="Z14" s="1" t="e">
        <f t="shared" si="7"/>
        <v>#DIV/0!</v>
      </c>
    </row>
    <row r="15" spans="1:26" x14ac:dyDescent="0.3">
      <c r="A15" s="21">
        <v>4.5</v>
      </c>
      <c r="B15" s="21">
        <v>-3.5</v>
      </c>
      <c r="C15" s="31">
        <v>-1.5162800000000001</v>
      </c>
      <c r="D15" s="31">
        <v>3.8615599999999999</v>
      </c>
      <c r="E15" s="27">
        <f t="shared" si="8"/>
        <v>6.0162800000000001</v>
      </c>
      <c r="F15" s="25">
        <f t="shared" si="9"/>
        <v>0.63844000000000012</v>
      </c>
      <c r="G15" s="21">
        <v>100</v>
      </c>
      <c r="H15" s="22">
        <v>100000</v>
      </c>
      <c r="I15" s="22">
        <f t="shared" si="10"/>
        <v>1.9837199999999999E-2</v>
      </c>
      <c r="J15" s="22">
        <f t="shared" si="11"/>
        <v>3.8615599999999997E-5</v>
      </c>
      <c r="K15" s="23">
        <f t="shared" si="0"/>
        <v>513.70948528573945</v>
      </c>
      <c r="L15" s="59"/>
      <c r="M15" s="24">
        <f>L12/I15</f>
        <v>1369.4809079238335</v>
      </c>
      <c r="N15" s="22">
        <f t="shared" si="5"/>
        <v>0.79348799999999997</v>
      </c>
      <c r="O15" s="23">
        <f t="shared" si="6"/>
        <v>647.40674753208555</v>
      </c>
      <c r="Z15" s="1" t="e">
        <f t="shared" si="7"/>
        <v>#DIV/0!</v>
      </c>
    </row>
    <row r="16" spans="1:26" x14ac:dyDescent="0.3">
      <c r="A16" s="21">
        <v>4.5</v>
      </c>
      <c r="B16" s="21">
        <v>-3</v>
      </c>
      <c r="C16" s="31">
        <v>-1.0405</v>
      </c>
      <c r="D16" s="31">
        <v>3.8581400000000001</v>
      </c>
      <c r="E16" s="27">
        <f t="shared" si="8"/>
        <v>5.5404999999999998</v>
      </c>
      <c r="F16" s="25">
        <f t="shared" si="9"/>
        <v>0.64185999999999988</v>
      </c>
      <c r="G16" s="21">
        <v>100</v>
      </c>
      <c r="H16" s="22">
        <v>100000</v>
      </c>
      <c r="I16" s="22">
        <f t="shared" si="10"/>
        <v>1.9595000000000001E-2</v>
      </c>
      <c r="J16" s="22">
        <f t="shared" si="11"/>
        <v>3.8581400000000003E-5</v>
      </c>
      <c r="K16" s="23">
        <f t="shared" si="0"/>
        <v>507.88722026676066</v>
      </c>
      <c r="L16" s="59"/>
      <c r="M16" s="24">
        <f>L12/I16</f>
        <v>1386.4080973037339</v>
      </c>
      <c r="N16" s="22">
        <f t="shared" si="5"/>
        <v>0.78380000000000005</v>
      </c>
      <c r="O16" s="23">
        <f t="shared" si="6"/>
        <v>647.98063315483626</v>
      </c>
      <c r="Z16" s="1" t="e">
        <f t="shared" si="7"/>
        <v>#DIV/0!</v>
      </c>
    </row>
    <row r="17" spans="1:26" x14ac:dyDescent="0.3">
      <c r="A17" s="21">
        <v>4.5</v>
      </c>
      <c r="B17" s="21">
        <v>-2.5</v>
      </c>
      <c r="C17" s="31">
        <v>-0.56698000000000004</v>
      </c>
      <c r="D17" s="31">
        <v>3.8586399999999998</v>
      </c>
      <c r="E17" s="27">
        <f t="shared" si="8"/>
        <v>5.06698</v>
      </c>
      <c r="F17" s="25">
        <f t="shared" si="9"/>
        <v>0.64136000000000015</v>
      </c>
      <c r="G17" s="21">
        <v>100</v>
      </c>
      <c r="H17" s="22">
        <v>100000</v>
      </c>
      <c r="I17" s="22">
        <f t="shared" si="10"/>
        <v>1.9330199999999999E-2</v>
      </c>
      <c r="J17" s="22">
        <f t="shared" si="11"/>
        <v>3.85864E-5</v>
      </c>
      <c r="K17" s="23">
        <f t="shared" si="0"/>
        <v>500.95888706901911</v>
      </c>
      <c r="L17" s="59"/>
      <c r="M17" s="24">
        <f>L12/I17</f>
        <v>1405.400185547313</v>
      </c>
      <c r="N17" s="22">
        <f t="shared" si="5"/>
        <v>0.7732079999999999</v>
      </c>
      <c r="O17" s="23">
        <f t="shared" si="6"/>
        <v>647.89666825617314</v>
      </c>
      <c r="Z17" s="1" t="e">
        <f t="shared" si="7"/>
        <v>#DIV/0!</v>
      </c>
    </row>
    <row r="18" spans="1:26" x14ac:dyDescent="0.3">
      <c r="A18" s="21">
        <v>4.5</v>
      </c>
      <c r="B18" s="21">
        <v>-2</v>
      </c>
      <c r="C18" s="31">
        <v>-9.2739999999999906E-2</v>
      </c>
      <c r="D18" s="31">
        <v>3.8564400000000001</v>
      </c>
      <c r="E18" s="27">
        <f t="shared" si="8"/>
        <v>4.59274</v>
      </c>
      <c r="F18" s="25">
        <f t="shared" si="9"/>
        <v>0.64355999999999991</v>
      </c>
      <c r="G18" s="21">
        <v>100</v>
      </c>
      <c r="H18" s="22">
        <v>100000</v>
      </c>
      <c r="I18" s="22">
        <f t="shared" si="10"/>
        <v>1.9072600000000002E-2</v>
      </c>
      <c r="J18" s="22">
        <f t="shared" si="11"/>
        <v>3.85644E-5</v>
      </c>
      <c r="K18" s="23">
        <f t="shared" si="0"/>
        <v>494.56493553640149</v>
      </c>
      <c r="L18" s="59"/>
      <c r="M18" s="24">
        <f>L12/I18</f>
        <v>1424.3819231078439</v>
      </c>
      <c r="N18" s="22">
        <f t="shared" si="5"/>
        <v>0.76290400000000003</v>
      </c>
      <c r="O18" s="23">
        <f t="shared" si="6"/>
        <v>648.26627666967465</v>
      </c>
      <c r="Z18" s="1" t="e">
        <f t="shared" si="7"/>
        <v>#DIV/0!</v>
      </c>
    </row>
    <row r="19" spans="1:26" x14ac:dyDescent="0.3">
      <c r="A19" s="21">
        <v>4.5</v>
      </c>
      <c r="B19" s="21">
        <v>-1.5</v>
      </c>
      <c r="C19" s="31">
        <v>0.36984</v>
      </c>
      <c r="D19" s="31">
        <v>3.8698999999999999</v>
      </c>
      <c r="E19" s="27">
        <f t="shared" si="8"/>
        <v>4.1301600000000001</v>
      </c>
      <c r="F19" s="25">
        <f t="shared" si="9"/>
        <v>0.6301000000000001</v>
      </c>
      <c r="G19" s="21">
        <v>100</v>
      </c>
      <c r="H19" s="22">
        <v>100000</v>
      </c>
      <c r="I19" s="22">
        <f t="shared" si="10"/>
        <v>1.86984E-2</v>
      </c>
      <c r="J19" s="22">
        <f t="shared" si="11"/>
        <v>3.8698999999999997E-5</v>
      </c>
      <c r="K19" s="23">
        <f t="shared" si="0"/>
        <v>483.17527584692118</v>
      </c>
      <c r="L19" s="59"/>
      <c r="M19" s="24">
        <f>L12/I19</f>
        <v>1452.8872345583936</v>
      </c>
      <c r="N19" s="22">
        <f t="shared" si="5"/>
        <v>0.74793599999999993</v>
      </c>
      <c r="O19" s="23">
        <f t="shared" si="6"/>
        <v>646.01152484560339</v>
      </c>
      <c r="Z19" s="1" t="e">
        <f t="shared" si="7"/>
        <v>#DIV/0!</v>
      </c>
    </row>
    <row r="20" spans="1:26" x14ac:dyDescent="0.3">
      <c r="A20" s="21">
        <v>4.5</v>
      </c>
      <c r="B20" s="21">
        <v>-1</v>
      </c>
      <c r="C20" s="31">
        <v>0.84226000000000001</v>
      </c>
      <c r="D20" s="31">
        <v>3.8678400000000002</v>
      </c>
      <c r="E20" s="27">
        <f t="shared" si="8"/>
        <v>3.65774</v>
      </c>
      <c r="F20" s="25">
        <f t="shared" si="9"/>
        <v>0.63215999999999983</v>
      </c>
      <c r="G20" s="21">
        <v>100</v>
      </c>
      <c r="H20" s="22">
        <v>100000</v>
      </c>
      <c r="I20" s="22">
        <f t="shared" si="10"/>
        <v>1.8422600000000001E-2</v>
      </c>
      <c r="J20" s="22">
        <f t="shared" si="11"/>
        <v>3.8678399999999999E-5</v>
      </c>
      <c r="K20" s="23">
        <f t="shared" si="0"/>
        <v>476.30201869777449</v>
      </c>
      <c r="L20" s="59"/>
      <c r="M20" s="24">
        <f>L12/I20</f>
        <v>1474.6380351669507</v>
      </c>
      <c r="N20" s="22">
        <f t="shared" si="5"/>
        <v>0.736904</v>
      </c>
      <c r="O20" s="23">
        <f t="shared" si="6"/>
        <v>646.35558864896177</v>
      </c>
      <c r="Z20" s="1" t="e">
        <f t="shared" si="7"/>
        <v>#DIV/0!</v>
      </c>
    </row>
    <row r="21" spans="1:26" x14ac:dyDescent="0.3">
      <c r="A21" s="21">
        <v>4.5</v>
      </c>
      <c r="B21" s="21">
        <v>-0.5</v>
      </c>
      <c r="C21" s="31">
        <v>1.31124</v>
      </c>
      <c r="D21" s="31">
        <v>3.8681999999999999</v>
      </c>
      <c r="E21" s="27">
        <f t="shared" si="8"/>
        <v>3.1887600000000003</v>
      </c>
      <c r="F21" s="25">
        <f t="shared" si="9"/>
        <v>0.63180000000000014</v>
      </c>
      <c r="G21" s="21">
        <v>100</v>
      </c>
      <c r="H21" s="22">
        <v>100000</v>
      </c>
      <c r="I21" s="22">
        <f t="shared" si="10"/>
        <v>1.8112400000000001E-2</v>
      </c>
      <c r="J21" s="22">
        <f t="shared" si="11"/>
        <v>3.8682E-5</v>
      </c>
      <c r="K21" s="23">
        <f t="shared" si="0"/>
        <v>468.23845716353861</v>
      </c>
      <c r="L21" s="59"/>
      <c r="M21" s="24">
        <f>L12/I21</f>
        <v>1499.8932591300252</v>
      </c>
      <c r="N21" s="22">
        <f t="shared" si="5"/>
        <v>0.72449600000000003</v>
      </c>
      <c r="O21" s="23">
        <f t="shared" si="6"/>
        <v>646.29543456905026</v>
      </c>
      <c r="Z21" s="1" t="e">
        <f t="shared" si="7"/>
        <v>#DIV/0!</v>
      </c>
    </row>
    <row r="22" spans="1:26" x14ac:dyDescent="0.3">
      <c r="A22" s="10">
        <v>4</v>
      </c>
      <c r="B22" s="10">
        <v>-5</v>
      </c>
      <c r="C22" s="32">
        <v>-3.2239599999999902</v>
      </c>
      <c r="D22" s="32">
        <v>3.3635799999999998</v>
      </c>
      <c r="E22" s="28">
        <f>A22-C22</f>
        <v>7.2239599999999902</v>
      </c>
      <c r="F22" s="3">
        <f>A22-D22</f>
        <v>0.63642000000000021</v>
      </c>
      <c r="G22" s="10">
        <v>100</v>
      </c>
      <c r="H22" s="11">
        <v>100000</v>
      </c>
      <c r="I22" s="11">
        <f>(C22-B22)/G22</f>
        <v>1.77604000000001E-2</v>
      </c>
      <c r="J22" s="11">
        <f>(D22-0)/H22</f>
        <v>3.3635800000000001E-5</v>
      </c>
      <c r="K22" s="6">
        <f t="shared" si="0"/>
        <v>528.02073980699436</v>
      </c>
      <c r="L22" s="52">
        <f>Z22</f>
        <v>28.2</v>
      </c>
      <c r="M22" s="17">
        <f>L22/I22</f>
        <v>1587.802076529799</v>
      </c>
      <c r="N22" s="11">
        <f t="shared" si="5"/>
        <v>0.71041600000000393</v>
      </c>
      <c r="O22" s="6">
        <f t="shared" si="6"/>
        <v>743.25569779817931</v>
      </c>
      <c r="X22" s="37">
        <v>5.0000000000000001E-4</v>
      </c>
      <c r="Y22" s="37">
        <v>1.41E-2</v>
      </c>
      <c r="Z22" s="37">
        <f t="shared" si="7"/>
        <v>28.2</v>
      </c>
    </row>
    <row r="23" spans="1:26" x14ac:dyDescent="0.3">
      <c r="A23" s="10">
        <v>4</v>
      </c>
      <c r="B23" s="10">
        <v>-4.5</v>
      </c>
      <c r="C23" s="32">
        <v>-2.7433799999999899</v>
      </c>
      <c r="D23" s="32">
        <v>3.36402</v>
      </c>
      <c r="E23" s="28">
        <f t="shared" ref="E23:E31" si="12">A23-C23</f>
        <v>6.7433799999999895</v>
      </c>
      <c r="F23" s="3">
        <f t="shared" ref="F23:F31" si="13">A23-D23</f>
        <v>0.63597999999999999</v>
      </c>
      <c r="G23" s="10">
        <v>100</v>
      </c>
      <c r="H23" s="11">
        <v>100000</v>
      </c>
      <c r="I23" s="11">
        <f t="shared" ref="I23:I31" si="14">(C23-B23)/G23</f>
        <v>1.7566200000000101E-2</v>
      </c>
      <c r="J23" s="11">
        <f t="shared" ref="J23:J31" si="15">(D23-0)/H23</f>
        <v>3.3640199999999997E-5</v>
      </c>
      <c r="K23" s="6">
        <f t="shared" si="0"/>
        <v>522.1788217668178</v>
      </c>
      <c r="L23" s="57"/>
      <c r="M23" s="17">
        <f>L22/I23</f>
        <v>1605.3557400006739</v>
      </c>
      <c r="N23" s="11">
        <f t="shared" si="5"/>
        <v>0.70264800000000405</v>
      </c>
      <c r="O23" s="6">
        <f t="shared" si="6"/>
        <v>743.1584830054519</v>
      </c>
      <c r="Z23" s="1" t="e">
        <f t="shared" si="7"/>
        <v>#DIV/0!</v>
      </c>
    </row>
    <row r="24" spans="1:26" x14ac:dyDescent="0.3">
      <c r="A24" s="10">
        <v>4</v>
      </c>
      <c r="B24" s="10">
        <v>-4</v>
      </c>
      <c r="C24" s="32">
        <v>-2.2639</v>
      </c>
      <c r="D24" s="32">
        <v>3.3613799999999898</v>
      </c>
      <c r="E24" s="28">
        <f t="shared" si="12"/>
        <v>6.2638999999999996</v>
      </c>
      <c r="F24" s="3">
        <f t="shared" si="13"/>
        <v>0.63862000000001018</v>
      </c>
      <c r="G24" s="10">
        <v>100</v>
      </c>
      <c r="H24" s="11">
        <v>100000</v>
      </c>
      <c r="I24" s="11">
        <f t="shared" si="14"/>
        <v>1.7361000000000001E-2</v>
      </c>
      <c r="J24" s="11">
        <f t="shared" si="15"/>
        <v>3.3613799999999898E-5</v>
      </c>
      <c r="K24" s="6">
        <f t="shared" si="0"/>
        <v>516.48430109062508</v>
      </c>
      <c r="L24" s="57"/>
      <c r="M24" s="17">
        <f>L22/I24</f>
        <v>1624.3303957145324</v>
      </c>
      <c r="N24" s="11">
        <f t="shared" si="5"/>
        <v>0.69444000000000006</v>
      </c>
      <c r="O24" s="6">
        <f t="shared" si="6"/>
        <v>743.74215352028261</v>
      </c>
      <c r="Z24" s="1" t="e">
        <f t="shared" si="7"/>
        <v>#DIV/0!</v>
      </c>
    </row>
    <row r="25" spans="1:26" x14ac:dyDescent="0.3">
      <c r="A25" s="10">
        <v>4</v>
      </c>
      <c r="B25" s="10">
        <v>-3.5</v>
      </c>
      <c r="C25" s="32">
        <v>-1.78772</v>
      </c>
      <c r="D25" s="32">
        <v>3.3646799999999999</v>
      </c>
      <c r="E25" s="28">
        <f t="shared" si="12"/>
        <v>5.7877200000000002</v>
      </c>
      <c r="F25" s="3">
        <f t="shared" si="13"/>
        <v>0.63532000000000011</v>
      </c>
      <c r="G25" s="10">
        <v>100</v>
      </c>
      <c r="H25" s="11">
        <v>100000</v>
      </c>
      <c r="I25" s="11">
        <f t="shared" si="14"/>
        <v>1.7122800000000001E-2</v>
      </c>
      <c r="J25" s="11">
        <f t="shared" si="15"/>
        <v>3.3646799999999998E-5</v>
      </c>
      <c r="K25" s="6">
        <f t="shared" si="0"/>
        <v>508.89832019686872</v>
      </c>
      <c r="L25" s="57"/>
      <c r="M25" s="17">
        <f>L22/I25</f>
        <v>1646.9269044782395</v>
      </c>
      <c r="N25" s="11">
        <f t="shared" si="5"/>
        <v>0.68491199999999997</v>
      </c>
      <c r="O25" s="6">
        <f t="shared" si="6"/>
        <v>743.0127084893661</v>
      </c>
      <c r="Z25" s="1" t="e">
        <f t="shared" si="7"/>
        <v>#DIV/0!</v>
      </c>
    </row>
    <row r="26" spans="1:26" x14ac:dyDescent="0.3">
      <c r="A26" s="10">
        <v>4</v>
      </c>
      <c r="B26" s="10">
        <v>-3</v>
      </c>
      <c r="C26" s="32">
        <v>-1.31098</v>
      </c>
      <c r="D26" s="32">
        <v>3.36212</v>
      </c>
      <c r="E26" s="28">
        <f t="shared" si="12"/>
        <v>5.3109799999999998</v>
      </c>
      <c r="F26" s="3">
        <f t="shared" si="13"/>
        <v>0.63788</v>
      </c>
      <c r="G26" s="10">
        <v>100</v>
      </c>
      <c r="H26" s="11">
        <v>100000</v>
      </c>
      <c r="I26" s="11">
        <f t="shared" si="14"/>
        <v>1.6890200000000001E-2</v>
      </c>
      <c r="J26" s="11">
        <f t="shared" si="15"/>
        <v>3.3621200000000003E-5</v>
      </c>
      <c r="K26" s="6">
        <f t="shared" si="0"/>
        <v>502.36755380533708</v>
      </c>
      <c r="L26" s="57"/>
      <c r="M26" s="17">
        <f>L22/I26</f>
        <v>1669.6072278599422</v>
      </c>
      <c r="N26" s="11">
        <f t="shared" si="5"/>
        <v>0.67560799999999999</v>
      </c>
      <c r="O26" s="6">
        <f t="shared" si="6"/>
        <v>743.57845645009695</v>
      </c>
      <c r="Z26" s="1" t="e">
        <f t="shared" si="7"/>
        <v>#DIV/0!</v>
      </c>
    </row>
    <row r="27" spans="1:26" x14ac:dyDescent="0.3">
      <c r="A27" s="10">
        <v>4</v>
      </c>
      <c r="B27" s="10">
        <v>-2.5</v>
      </c>
      <c r="C27" s="32">
        <v>-0.83426</v>
      </c>
      <c r="D27" s="32">
        <v>3.36294</v>
      </c>
      <c r="E27" s="28">
        <f t="shared" si="12"/>
        <v>4.8342600000000004</v>
      </c>
      <c r="F27" s="3">
        <f t="shared" si="13"/>
        <v>0.63705999999999996</v>
      </c>
      <c r="G27" s="10">
        <v>100</v>
      </c>
      <c r="H27" s="11">
        <v>100000</v>
      </c>
      <c r="I27" s="11">
        <f t="shared" si="14"/>
        <v>1.6657399999999999E-2</v>
      </c>
      <c r="J27" s="11">
        <f t="shared" si="15"/>
        <v>3.36294E-5</v>
      </c>
      <c r="K27" s="6">
        <f t="shared" si="0"/>
        <v>495.32254515394266</v>
      </c>
      <c r="L27" s="57"/>
      <c r="M27" s="17">
        <f>L22/I27</f>
        <v>1692.9412753490942</v>
      </c>
      <c r="N27" s="11">
        <f t="shared" si="5"/>
        <v>0.66629599999999989</v>
      </c>
      <c r="O27" s="6">
        <f t="shared" si="6"/>
        <v>743.39714654439274</v>
      </c>
      <c r="Z27" s="1" t="e">
        <f t="shared" si="7"/>
        <v>#DIV/0!</v>
      </c>
    </row>
    <row r="28" spans="1:26" x14ac:dyDescent="0.3">
      <c r="A28" s="10">
        <v>4</v>
      </c>
      <c r="B28" s="10">
        <v>-2</v>
      </c>
      <c r="C28" s="32">
        <v>-0.35707999999999901</v>
      </c>
      <c r="D28" s="32">
        <v>3.3597000000000001</v>
      </c>
      <c r="E28" s="28">
        <f t="shared" si="12"/>
        <v>4.357079999999999</v>
      </c>
      <c r="F28" s="3">
        <f t="shared" si="13"/>
        <v>0.64029999999999987</v>
      </c>
      <c r="G28" s="10">
        <v>100</v>
      </c>
      <c r="H28" s="11">
        <v>100000</v>
      </c>
      <c r="I28" s="11">
        <f t="shared" si="14"/>
        <v>1.6429200000000012E-2</v>
      </c>
      <c r="J28" s="11">
        <f t="shared" si="15"/>
        <v>3.3597000000000004E-5</v>
      </c>
      <c r="K28" s="6">
        <f t="shared" si="0"/>
        <v>489.00794713813764</v>
      </c>
      <c r="L28" s="57"/>
      <c r="M28" s="17">
        <f>L22/I28</f>
        <v>1716.4560660287768</v>
      </c>
      <c r="N28" s="11">
        <f t="shared" si="5"/>
        <v>0.65716800000000042</v>
      </c>
      <c r="O28" s="6">
        <f t="shared" si="6"/>
        <v>744.11405780277994</v>
      </c>
      <c r="Z28" s="1" t="e">
        <f t="shared" si="7"/>
        <v>#DIV/0!</v>
      </c>
    </row>
    <row r="29" spans="1:26" x14ac:dyDescent="0.3">
      <c r="A29" s="10">
        <v>4</v>
      </c>
      <c r="B29" s="10">
        <v>-1.5</v>
      </c>
      <c r="C29" s="32">
        <v>0.10915999999999999</v>
      </c>
      <c r="D29" s="32">
        <v>3.3719199999999998</v>
      </c>
      <c r="E29" s="28">
        <f t="shared" si="12"/>
        <v>3.8908399999999999</v>
      </c>
      <c r="F29" s="3">
        <f t="shared" si="13"/>
        <v>0.62808000000000019</v>
      </c>
      <c r="G29" s="10">
        <v>100</v>
      </c>
      <c r="H29" s="11">
        <v>100000</v>
      </c>
      <c r="I29" s="11">
        <f t="shared" si="14"/>
        <v>1.6091599999999998E-2</v>
      </c>
      <c r="J29" s="11">
        <f t="shared" si="15"/>
        <v>3.3719200000000001E-5</v>
      </c>
      <c r="K29" s="6">
        <f t="shared" si="0"/>
        <v>477.22365892429229</v>
      </c>
      <c r="L29" s="57"/>
      <c r="M29" s="17">
        <f>L22/I29</f>
        <v>1752.4671257053371</v>
      </c>
      <c r="N29" s="11">
        <f t="shared" si="5"/>
        <v>0.6436639999999999</v>
      </c>
      <c r="O29" s="6">
        <f t="shared" si="6"/>
        <v>741.4173527248571</v>
      </c>
      <c r="Z29" s="1" t="e">
        <f t="shared" si="7"/>
        <v>#DIV/0!</v>
      </c>
    </row>
    <row r="30" spans="1:26" x14ac:dyDescent="0.3">
      <c r="A30" s="10">
        <v>4</v>
      </c>
      <c r="B30" s="10">
        <v>-1</v>
      </c>
      <c r="C30" s="32">
        <v>0.58586000000000005</v>
      </c>
      <c r="D30" s="32">
        <v>3.3702000000000001</v>
      </c>
      <c r="E30" s="28">
        <f t="shared" si="12"/>
        <v>3.4141399999999997</v>
      </c>
      <c r="F30" s="3">
        <f t="shared" si="13"/>
        <v>0.62979999999999992</v>
      </c>
      <c r="G30" s="10">
        <v>100</v>
      </c>
      <c r="H30" s="11">
        <v>100000</v>
      </c>
      <c r="I30" s="11">
        <f t="shared" si="14"/>
        <v>1.58586E-2</v>
      </c>
      <c r="J30" s="11">
        <f t="shared" si="15"/>
        <v>3.3702000000000004E-5</v>
      </c>
      <c r="K30" s="6">
        <f t="shared" si="0"/>
        <v>470.55367633968308</v>
      </c>
      <c r="L30" s="57"/>
      <c r="M30" s="17">
        <f>L22/I30</f>
        <v>1778.2149748401498</v>
      </c>
      <c r="N30" s="11">
        <f t="shared" si="5"/>
        <v>0.63434400000000002</v>
      </c>
      <c r="O30" s="6">
        <f t="shared" si="6"/>
        <v>741.79573912527439</v>
      </c>
      <c r="Z30" s="1" t="e">
        <f t="shared" si="7"/>
        <v>#DIV/0!</v>
      </c>
    </row>
    <row r="31" spans="1:26" x14ac:dyDescent="0.3">
      <c r="A31" s="10">
        <v>4</v>
      </c>
      <c r="B31" s="10">
        <v>-0.5</v>
      </c>
      <c r="C31" s="32">
        <v>1.0582800000000001</v>
      </c>
      <c r="D31" s="32">
        <v>3.37032</v>
      </c>
      <c r="E31" s="28">
        <f t="shared" si="12"/>
        <v>2.9417200000000001</v>
      </c>
      <c r="F31" s="3">
        <f t="shared" si="13"/>
        <v>0.62968000000000002</v>
      </c>
      <c r="G31" s="10">
        <v>100</v>
      </c>
      <c r="H31" s="11">
        <v>100000</v>
      </c>
      <c r="I31" s="11">
        <f t="shared" si="14"/>
        <v>1.5582800000000001E-2</v>
      </c>
      <c r="J31" s="11">
        <f t="shared" si="15"/>
        <v>3.3703199999999999E-5</v>
      </c>
      <c r="K31" s="6">
        <f t="shared" si="0"/>
        <v>462.35372308860883</v>
      </c>
      <c r="L31" s="57"/>
      <c r="M31" s="17">
        <f>L22/I31</f>
        <v>1809.6876042816436</v>
      </c>
      <c r="N31" s="11">
        <f t="shared" si="5"/>
        <v>0.62331199999999998</v>
      </c>
      <c r="O31" s="6">
        <f t="shared" si="6"/>
        <v>741.7693275415985</v>
      </c>
      <c r="Z31" s="1" t="e">
        <f t="shared" si="7"/>
        <v>#DIV/0!</v>
      </c>
    </row>
    <row r="32" spans="1:26" x14ac:dyDescent="0.3">
      <c r="A32" s="12">
        <v>3.5</v>
      </c>
      <c r="B32" s="12">
        <v>-5</v>
      </c>
      <c r="C32" s="33">
        <v>-3.4994399999999999</v>
      </c>
      <c r="D32" s="33">
        <v>2.8723000000000001</v>
      </c>
      <c r="E32" s="29">
        <f>A32-C32</f>
        <v>6.9994399999999999</v>
      </c>
      <c r="F32" s="4">
        <f>A32-D32</f>
        <v>0.62769999999999992</v>
      </c>
      <c r="G32" s="12">
        <v>100</v>
      </c>
      <c r="H32" s="13">
        <v>100000</v>
      </c>
      <c r="I32" s="13">
        <f>(C32-B32)/G32</f>
        <v>1.5005600000000001E-2</v>
      </c>
      <c r="J32" s="13">
        <f>(D32-0)/H32</f>
        <v>2.8722999999999999E-5</v>
      </c>
      <c r="K32" s="7">
        <f t="shared" si="0"/>
        <v>522.42453782682867</v>
      </c>
      <c r="L32" s="54">
        <f>Z33</f>
        <v>30</v>
      </c>
      <c r="M32" s="18">
        <f>L32/I32</f>
        <v>1999.2536119848589</v>
      </c>
      <c r="N32" s="13">
        <f t="shared" si="5"/>
        <v>0.60022399999999998</v>
      </c>
      <c r="O32" s="7">
        <f t="shared" si="6"/>
        <v>870.38262019983995</v>
      </c>
      <c r="Z32" s="1" t="e">
        <f t="shared" si="7"/>
        <v>#DIV/0!</v>
      </c>
    </row>
    <row r="33" spans="1:26" x14ac:dyDescent="0.3">
      <c r="A33" s="12">
        <v>3.5</v>
      </c>
      <c r="B33" s="12">
        <v>-4.5</v>
      </c>
      <c r="C33" s="33">
        <v>-3.0146799999999998</v>
      </c>
      <c r="D33" s="33">
        <v>2.8691800000000001</v>
      </c>
      <c r="E33" s="29">
        <f t="shared" ref="E33:E41" si="16">A33-C33</f>
        <v>6.5146800000000002</v>
      </c>
      <c r="F33" s="4">
        <f t="shared" ref="F33:F41" si="17">A33-D33</f>
        <v>0.63081999999999994</v>
      </c>
      <c r="G33" s="12">
        <v>100</v>
      </c>
      <c r="H33" s="13">
        <v>100000</v>
      </c>
      <c r="I33" s="13">
        <f t="shared" ref="I33:I41" si="18">(C33-B33)/G33</f>
        <v>1.4853200000000002E-2</v>
      </c>
      <c r="J33" s="13">
        <f t="shared" ref="J33:J41" si="19">(D33-0)/H33</f>
        <v>2.8691800000000002E-5</v>
      </c>
      <c r="K33" s="7">
        <f t="shared" si="0"/>
        <v>517.68100990526909</v>
      </c>
      <c r="L33" s="60"/>
      <c r="M33" s="18">
        <f>L32/I33</f>
        <v>2019.7667842619769</v>
      </c>
      <c r="N33" s="13">
        <f t="shared" si="5"/>
        <v>0.5941280000000001</v>
      </c>
      <c r="O33" s="7">
        <f t="shared" si="6"/>
        <v>871.32909054154845</v>
      </c>
      <c r="X33" s="38">
        <v>4.0000000000000002E-4</v>
      </c>
      <c r="Y33" s="37">
        <v>1.2E-2</v>
      </c>
      <c r="Z33" s="37">
        <f t="shared" si="7"/>
        <v>30</v>
      </c>
    </row>
    <row r="34" spans="1:26" x14ac:dyDescent="0.3">
      <c r="A34" s="12">
        <v>3.5</v>
      </c>
      <c r="B34" s="12">
        <v>-4</v>
      </c>
      <c r="C34" s="33">
        <v>-2.5329799999999998</v>
      </c>
      <c r="D34" s="33">
        <v>2.87</v>
      </c>
      <c r="E34" s="29">
        <f t="shared" si="16"/>
        <v>6.0329800000000002</v>
      </c>
      <c r="F34" s="4">
        <f t="shared" si="17"/>
        <v>0.62999999999999989</v>
      </c>
      <c r="G34" s="12">
        <v>100</v>
      </c>
      <c r="H34" s="13">
        <v>100000</v>
      </c>
      <c r="I34" s="13">
        <f t="shared" si="18"/>
        <v>1.4670200000000001E-2</v>
      </c>
      <c r="J34" s="13">
        <f t="shared" si="19"/>
        <v>2.87E-5</v>
      </c>
      <c r="K34" s="7">
        <f t="shared" si="0"/>
        <v>511.15679442508718</v>
      </c>
      <c r="L34" s="60"/>
      <c r="M34" s="18">
        <f>L32/I34</f>
        <v>2044.9618955433461</v>
      </c>
      <c r="N34" s="13">
        <f t="shared" si="5"/>
        <v>0.586808</v>
      </c>
      <c r="O34" s="7">
        <f t="shared" si="6"/>
        <v>871.08013937282237</v>
      </c>
      <c r="Z34" s="1" t="e">
        <f t="shared" si="7"/>
        <v>#DIV/0!</v>
      </c>
    </row>
    <row r="35" spans="1:26" x14ac:dyDescent="0.3">
      <c r="A35" s="12">
        <v>3.5</v>
      </c>
      <c r="B35" s="12">
        <v>-3.5</v>
      </c>
      <c r="C35" s="33">
        <v>-2.0505399999999998</v>
      </c>
      <c r="D35" s="33">
        <v>2.8673999999999999</v>
      </c>
      <c r="E35" s="29">
        <f t="shared" si="16"/>
        <v>5.5505399999999998</v>
      </c>
      <c r="F35" s="4">
        <f t="shared" si="17"/>
        <v>0.63260000000000005</v>
      </c>
      <c r="G35" s="12">
        <v>100</v>
      </c>
      <c r="H35" s="13">
        <v>100000</v>
      </c>
      <c r="I35" s="13">
        <f t="shared" si="18"/>
        <v>1.4494600000000002E-2</v>
      </c>
      <c r="J35" s="13">
        <f t="shared" si="19"/>
        <v>2.8674E-5</v>
      </c>
      <c r="K35" s="7">
        <f t="shared" si="0"/>
        <v>505.4962683964568</v>
      </c>
      <c r="L35" s="60"/>
      <c r="M35" s="18">
        <f>L32/I35</f>
        <v>2069.7363155933931</v>
      </c>
      <c r="N35" s="13">
        <f t="shared" si="5"/>
        <v>0.57978400000000008</v>
      </c>
      <c r="O35" s="7">
        <f t="shared" si="6"/>
        <v>871.86998674757626</v>
      </c>
      <c r="Z35" s="1" t="e">
        <f t="shared" si="7"/>
        <v>#DIV/0!</v>
      </c>
    </row>
    <row r="36" spans="1:26" x14ac:dyDescent="0.3">
      <c r="A36" s="12">
        <v>3.5</v>
      </c>
      <c r="B36" s="12">
        <v>-3</v>
      </c>
      <c r="C36" s="33">
        <v>-1.57318</v>
      </c>
      <c r="D36" s="33">
        <v>2.8708</v>
      </c>
      <c r="E36" s="29">
        <f t="shared" si="16"/>
        <v>5.0731799999999998</v>
      </c>
      <c r="F36" s="4">
        <f t="shared" si="17"/>
        <v>0.62919999999999998</v>
      </c>
      <c r="G36" s="12">
        <v>100</v>
      </c>
      <c r="H36" s="13">
        <v>100000</v>
      </c>
      <c r="I36" s="13">
        <f t="shared" si="18"/>
        <v>1.42682E-2</v>
      </c>
      <c r="J36" s="13">
        <f t="shared" si="19"/>
        <v>2.8708E-5</v>
      </c>
      <c r="K36" s="7">
        <f t="shared" si="0"/>
        <v>497.01128605266825</v>
      </c>
      <c r="L36" s="60"/>
      <c r="M36" s="18">
        <f>L32/I36</f>
        <v>2102.5777603341699</v>
      </c>
      <c r="N36" s="13">
        <f t="shared" si="5"/>
        <v>0.57072800000000001</v>
      </c>
      <c r="O36" s="7">
        <f t="shared" si="6"/>
        <v>870.8373972411872</v>
      </c>
      <c r="Z36" s="1" t="e">
        <f t="shared" si="7"/>
        <v>#DIV/0!</v>
      </c>
    </row>
    <row r="37" spans="1:26" x14ac:dyDescent="0.3">
      <c r="A37" s="12">
        <v>3.5</v>
      </c>
      <c r="B37" s="12">
        <v>-2.5</v>
      </c>
      <c r="C37" s="33">
        <v>-1.09344</v>
      </c>
      <c r="D37" s="33">
        <v>2.8681000000000001</v>
      </c>
      <c r="E37" s="29">
        <f t="shared" si="16"/>
        <v>4.5934400000000002</v>
      </c>
      <c r="F37" s="4">
        <f t="shared" si="17"/>
        <v>0.63189999999999991</v>
      </c>
      <c r="G37" s="12">
        <v>100</v>
      </c>
      <c r="H37" s="13">
        <v>100000</v>
      </c>
      <c r="I37" s="13">
        <f t="shared" si="18"/>
        <v>1.4065600000000001E-2</v>
      </c>
      <c r="J37" s="13">
        <f t="shared" si="19"/>
        <v>2.8681000000000002E-5</v>
      </c>
      <c r="K37" s="7">
        <f t="shared" si="0"/>
        <v>490.41525748753531</v>
      </c>
      <c r="L37" s="60"/>
      <c r="M37" s="18">
        <f>L32/I37</f>
        <v>2132.8631554999429</v>
      </c>
      <c r="N37" s="13">
        <f t="shared" si="5"/>
        <v>0.56262400000000001</v>
      </c>
      <c r="O37" s="7">
        <f t="shared" si="6"/>
        <v>871.65719465848474</v>
      </c>
      <c r="Z37" s="1" t="e">
        <f t="shared" si="7"/>
        <v>#DIV/0!</v>
      </c>
    </row>
    <row r="38" spans="1:26" x14ac:dyDescent="0.3">
      <c r="A38" s="12">
        <v>3.5</v>
      </c>
      <c r="B38" s="12">
        <v>-2</v>
      </c>
      <c r="C38" s="33">
        <v>-0.61556</v>
      </c>
      <c r="D38" s="33">
        <v>2.8687200000000002</v>
      </c>
      <c r="E38" s="29">
        <f t="shared" si="16"/>
        <v>4.1155600000000003</v>
      </c>
      <c r="F38" s="4">
        <f t="shared" si="17"/>
        <v>0.63127999999999984</v>
      </c>
      <c r="G38" s="12">
        <v>100</v>
      </c>
      <c r="H38" s="13">
        <v>100000</v>
      </c>
      <c r="I38" s="13">
        <f t="shared" si="18"/>
        <v>1.3844400000000001E-2</v>
      </c>
      <c r="J38" s="13">
        <f t="shared" si="19"/>
        <v>2.8687200000000002E-5</v>
      </c>
      <c r="K38" s="7">
        <f t="shared" si="0"/>
        <v>482.59851083410024</v>
      </c>
      <c r="L38" s="60"/>
      <c r="M38" s="18">
        <f>L32/I38</f>
        <v>2166.9411458784775</v>
      </c>
      <c r="N38" s="13">
        <f t="shared" si="5"/>
        <v>0.55377600000000005</v>
      </c>
      <c r="O38" s="7">
        <f t="shared" si="6"/>
        <v>871.46880838841014</v>
      </c>
      <c r="Z38" s="1" t="e">
        <f t="shared" si="7"/>
        <v>#DIV/0!</v>
      </c>
    </row>
    <row r="39" spans="1:26" x14ac:dyDescent="0.3">
      <c r="A39" s="12">
        <v>3.5</v>
      </c>
      <c r="B39" s="12">
        <v>-1.5</v>
      </c>
      <c r="C39" s="33">
        <v>-0.13553999999999999</v>
      </c>
      <c r="D39" s="33">
        <v>2.8667600000000002</v>
      </c>
      <c r="E39" s="29">
        <f t="shared" si="16"/>
        <v>3.6355399999999998</v>
      </c>
      <c r="F39" s="4">
        <f t="shared" si="17"/>
        <v>0.6332399999999998</v>
      </c>
      <c r="G39" s="12">
        <v>100</v>
      </c>
      <c r="H39" s="13">
        <v>100000</v>
      </c>
      <c r="I39" s="13">
        <f t="shared" si="18"/>
        <v>1.36446E-2</v>
      </c>
      <c r="J39" s="13">
        <f t="shared" si="19"/>
        <v>2.8667600000000003E-5</v>
      </c>
      <c r="K39" s="7">
        <f t="shared" si="0"/>
        <v>475.95892226764704</v>
      </c>
      <c r="L39" s="60"/>
      <c r="M39" s="18">
        <f>L32/I39</f>
        <v>2198.6720021107253</v>
      </c>
      <c r="N39" s="13">
        <f t="shared" si="5"/>
        <v>0.54578399999999994</v>
      </c>
      <c r="O39" s="7">
        <f t="shared" si="6"/>
        <v>872.06463045389216</v>
      </c>
      <c r="Z39" s="1" t="e">
        <f t="shared" si="7"/>
        <v>#DIV/0!</v>
      </c>
    </row>
    <row r="40" spans="1:26" x14ac:dyDescent="0.3">
      <c r="A40" s="12">
        <v>3.5</v>
      </c>
      <c r="B40" s="12">
        <v>-1</v>
      </c>
      <c r="C40" s="33">
        <v>0.33406000000000002</v>
      </c>
      <c r="D40" s="33">
        <v>2.8792599999999999</v>
      </c>
      <c r="E40" s="29">
        <f t="shared" si="16"/>
        <v>3.16594</v>
      </c>
      <c r="F40" s="4">
        <f t="shared" si="17"/>
        <v>0.62074000000000007</v>
      </c>
      <c r="G40" s="12">
        <v>100</v>
      </c>
      <c r="H40" s="13">
        <v>100000</v>
      </c>
      <c r="I40" s="13">
        <f t="shared" si="18"/>
        <v>1.3340600000000001E-2</v>
      </c>
      <c r="J40" s="13">
        <f t="shared" si="19"/>
        <v>2.8792599999999999E-5</v>
      </c>
      <c r="K40" s="7">
        <f t="shared" si="0"/>
        <v>463.33432895952438</v>
      </c>
      <c r="L40" s="60"/>
      <c r="M40" s="18">
        <f>L32/I40</f>
        <v>2248.7744179422211</v>
      </c>
      <c r="N40" s="13">
        <f t="shared" si="5"/>
        <v>0.53362399999999999</v>
      </c>
      <c r="O40" s="7">
        <f t="shared" si="6"/>
        <v>868.27865493217018</v>
      </c>
      <c r="Z40" s="1" t="e">
        <f t="shared" si="7"/>
        <v>#DIV/0!</v>
      </c>
    </row>
    <row r="41" spans="1:26" x14ac:dyDescent="0.3">
      <c r="A41" s="12">
        <v>3.5</v>
      </c>
      <c r="B41" s="12">
        <v>-0.5</v>
      </c>
      <c r="C41" s="33">
        <v>0.81218000000000001</v>
      </c>
      <c r="D41" s="33">
        <v>2.8765399999999999</v>
      </c>
      <c r="E41" s="29">
        <f t="shared" si="16"/>
        <v>2.6878199999999999</v>
      </c>
      <c r="F41" s="4">
        <f t="shared" si="17"/>
        <v>0.62346000000000013</v>
      </c>
      <c r="G41" s="12">
        <v>100</v>
      </c>
      <c r="H41" s="13">
        <v>100000</v>
      </c>
      <c r="I41" s="13">
        <f t="shared" si="18"/>
        <v>1.3121800000000001E-2</v>
      </c>
      <c r="J41" s="13">
        <f t="shared" si="19"/>
        <v>2.8765399999999997E-5</v>
      </c>
      <c r="K41" s="7">
        <f t="shared" si="0"/>
        <v>456.16608842567814</v>
      </c>
      <c r="L41" s="60"/>
      <c r="M41" s="18">
        <f>L32/I41</f>
        <v>2286.2717005288905</v>
      </c>
      <c r="N41" s="13">
        <f t="shared" si="5"/>
        <v>0.52487200000000001</v>
      </c>
      <c r="O41" s="7">
        <f t="shared" si="6"/>
        <v>869.09968225715625</v>
      </c>
      <c r="Z41" s="1" t="e">
        <f t="shared" si="7"/>
        <v>#DIV/0!</v>
      </c>
    </row>
    <row r="42" spans="1:26" x14ac:dyDescent="0.3">
      <c r="A42" s="8">
        <v>3</v>
      </c>
      <c r="B42" s="8">
        <v>-5</v>
      </c>
      <c r="C42" s="30">
        <v>-3.76938</v>
      </c>
      <c r="D42" s="30">
        <v>2.3763399999999999</v>
      </c>
      <c r="E42" s="26">
        <f>A42-C42</f>
        <v>6.76938</v>
      </c>
      <c r="F42" s="2">
        <f>A42-D42</f>
        <v>0.6236600000000001</v>
      </c>
      <c r="G42" s="8">
        <v>100</v>
      </c>
      <c r="H42" s="9">
        <v>100000</v>
      </c>
      <c r="I42" s="9">
        <f>(C42-B42)/G42</f>
        <v>1.23062E-2</v>
      </c>
      <c r="J42" s="9">
        <f>(D42-0)/H42</f>
        <v>2.37634E-5</v>
      </c>
      <c r="K42" s="5">
        <f t="shared" si="0"/>
        <v>517.86360537633504</v>
      </c>
      <c r="L42" s="55">
        <f>Z43</f>
        <v>24.75</v>
      </c>
      <c r="M42" s="16">
        <f>L42/I42</f>
        <v>2011.1813557393834</v>
      </c>
      <c r="N42" s="9">
        <f t="shared" si="5"/>
        <v>0.49224799999999996</v>
      </c>
      <c r="O42" s="5">
        <f t="shared" si="6"/>
        <v>1052.0380080291541</v>
      </c>
      <c r="Z42" s="1" t="e">
        <f t="shared" si="7"/>
        <v>#DIV/0!</v>
      </c>
    </row>
    <row r="43" spans="1:26" x14ac:dyDescent="0.3">
      <c r="A43" s="8">
        <v>3</v>
      </c>
      <c r="B43" s="8">
        <v>-4.5</v>
      </c>
      <c r="C43" s="30">
        <v>-3.28362</v>
      </c>
      <c r="D43" s="30">
        <v>2.38153999999999</v>
      </c>
      <c r="E43" s="26">
        <f t="shared" ref="E43:E51" si="20">A43-C43</f>
        <v>6.28362</v>
      </c>
      <c r="F43" s="2">
        <f t="shared" ref="F43:F51" si="21">A43-D43</f>
        <v>0.61846000000001</v>
      </c>
      <c r="G43" s="8">
        <v>100</v>
      </c>
      <c r="H43" s="9">
        <v>100000</v>
      </c>
      <c r="I43" s="9">
        <f t="shared" ref="I43:I51" si="22">(C43-B43)/G43</f>
        <v>1.2163800000000001E-2</v>
      </c>
      <c r="J43" s="9">
        <f t="shared" ref="J43:J51" si="23">(D43-0)/H43</f>
        <v>2.3815399999999901E-5</v>
      </c>
      <c r="K43" s="5">
        <f t="shared" si="0"/>
        <v>510.75354602484322</v>
      </c>
      <c r="L43" s="61"/>
      <c r="M43" s="16">
        <f>L42/I43</f>
        <v>2034.7259902333151</v>
      </c>
      <c r="N43" s="9">
        <f t="shared" si="5"/>
        <v>0.48655199999999998</v>
      </c>
      <c r="O43" s="5">
        <f t="shared" si="6"/>
        <v>1049.740923939976</v>
      </c>
      <c r="X43" s="38">
        <v>4.0000000000000002E-4</v>
      </c>
      <c r="Y43" s="37">
        <v>9.9000000000000008E-3</v>
      </c>
      <c r="Z43" s="37">
        <f t="shared" si="7"/>
        <v>24.75</v>
      </c>
    </row>
    <row r="44" spans="1:26" x14ac:dyDescent="0.3">
      <c r="A44" s="8">
        <v>3</v>
      </c>
      <c r="B44" s="8">
        <v>-4</v>
      </c>
      <c r="C44" s="30">
        <v>-2.79528</v>
      </c>
      <c r="D44" s="30">
        <v>2.3763800000000002</v>
      </c>
      <c r="E44" s="26">
        <f t="shared" si="20"/>
        <v>5.79528</v>
      </c>
      <c r="F44" s="2">
        <f t="shared" si="21"/>
        <v>0.62361999999999984</v>
      </c>
      <c r="G44" s="8">
        <v>100</v>
      </c>
      <c r="H44" s="9">
        <v>100000</v>
      </c>
      <c r="I44" s="9">
        <f t="shared" si="22"/>
        <v>1.2047200000000001E-2</v>
      </c>
      <c r="J44" s="9">
        <f t="shared" si="23"/>
        <v>2.3763800000000001E-5</v>
      </c>
      <c r="K44" s="5">
        <f t="shared" si="0"/>
        <v>506.9559582221699</v>
      </c>
      <c r="L44" s="61"/>
      <c r="M44" s="16">
        <f>L42/I44</f>
        <v>2054.4192841490135</v>
      </c>
      <c r="N44" s="9">
        <f t="shared" si="5"/>
        <v>0.48188800000000004</v>
      </c>
      <c r="O44" s="5">
        <f t="shared" si="6"/>
        <v>1052.0202997837046</v>
      </c>
      <c r="Z44" s="1" t="e">
        <f t="shared" si="7"/>
        <v>#DIV/0!</v>
      </c>
    </row>
    <row r="45" spans="1:26" x14ac:dyDescent="0.3">
      <c r="A45" s="8">
        <v>3</v>
      </c>
      <c r="B45" s="8">
        <v>-3.5</v>
      </c>
      <c r="C45" s="30">
        <v>-2.3092800000000002</v>
      </c>
      <c r="D45" s="30">
        <v>2.3729399999999998</v>
      </c>
      <c r="E45" s="26">
        <f t="shared" si="20"/>
        <v>5.3092800000000002</v>
      </c>
      <c r="F45" s="2">
        <f t="shared" si="21"/>
        <v>0.62706000000000017</v>
      </c>
      <c r="G45" s="8">
        <v>100</v>
      </c>
      <c r="H45" s="9">
        <v>100000</v>
      </c>
      <c r="I45" s="9">
        <f t="shared" si="22"/>
        <v>1.1907199999999998E-2</v>
      </c>
      <c r="J45" s="9">
        <f t="shared" si="23"/>
        <v>2.3729399999999997E-5</v>
      </c>
      <c r="K45" s="5">
        <f t="shared" si="0"/>
        <v>501.79102716461432</v>
      </c>
      <c r="L45" s="61"/>
      <c r="M45" s="16">
        <f>L42/I45</f>
        <v>2078.5743079817257</v>
      </c>
      <c r="N45" s="9">
        <f t="shared" si="5"/>
        <v>0.47628799999999988</v>
      </c>
      <c r="O45" s="5">
        <f t="shared" si="6"/>
        <v>1053.5453909496239</v>
      </c>
      <c r="Z45" s="1" t="e">
        <f t="shared" si="7"/>
        <v>#DIV/0!</v>
      </c>
    </row>
    <row r="46" spans="1:26" x14ac:dyDescent="0.3">
      <c r="A46" s="8">
        <v>3</v>
      </c>
      <c r="B46" s="8">
        <v>-3</v>
      </c>
      <c r="C46" s="30">
        <v>-1.8298399999999999</v>
      </c>
      <c r="D46" s="30">
        <v>2.3761399999999999</v>
      </c>
      <c r="E46" s="26">
        <f t="shared" si="20"/>
        <v>4.8298399999999999</v>
      </c>
      <c r="F46" s="2">
        <f t="shared" si="21"/>
        <v>0.62386000000000008</v>
      </c>
      <c r="G46" s="8">
        <v>100</v>
      </c>
      <c r="H46" s="9">
        <v>100000</v>
      </c>
      <c r="I46" s="9">
        <f t="shared" si="22"/>
        <v>1.1701600000000001E-2</v>
      </c>
      <c r="J46" s="9">
        <f t="shared" si="23"/>
        <v>2.3761399999999999E-5</v>
      </c>
      <c r="K46" s="5">
        <f t="shared" si="0"/>
        <v>492.46256533705935</v>
      </c>
      <c r="L46" s="61"/>
      <c r="M46" s="16">
        <f>L42/I46</f>
        <v>2115.095371573118</v>
      </c>
      <c r="N46" s="9">
        <f t="shared" si="5"/>
        <v>0.46806400000000004</v>
      </c>
      <c r="O46" s="5">
        <f t="shared" si="6"/>
        <v>1052.1265581994328</v>
      </c>
      <c r="Z46" s="1" t="e">
        <f t="shared" si="7"/>
        <v>#DIV/0!</v>
      </c>
    </row>
    <row r="47" spans="1:26" x14ac:dyDescent="0.3">
      <c r="A47" s="8">
        <v>3</v>
      </c>
      <c r="B47" s="8">
        <v>-2.5</v>
      </c>
      <c r="C47" s="30">
        <v>-1.3455999999999999</v>
      </c>
      <c r="D47" s="30">
        <v>2.37338</v>
      </c>
      <c r="E47" s="26">
        <f t="shared" si="20"/>
        <v>4.3456000000000001</v>
      </c>
      <c r="F47" s="2">
        <f t="shared" si="21"/>
        <v>0.62661999999999995</v>
      </c>
      <c r="G47" s="8">
        <v>100</v>
      </c>
      <c r="H47" s="9">
        <v>100000</v>
      </c>
      <c r="I47" s="9">
        <f t="shared" si="22"/>
        <v>1.1544E-2</v>
      </c>
      <c r="J47" s="9">
        <f t="shared" si="23"/>
        <v>2.37338E-5</v>
      </c>
      <c r="K47" s="5">
        <f t="shared" si="0"/>
        <v>486.39493043676111</v>
      </c>
      <c r="L47" s="61"/>
      <c r="M47" s="16">
        <f>L42/I47</f>
        <v>2143.9708939708939</v>
      </c>
      <c r="N47" s="9">
        <f t="shared" si="5"/>
        <v>0.46176</v>
      </c>
      <c r="O47" s="5">
        <f t="shared" si="6"/>
        <v>1053.3500745771853</v>
      </c>
      <c r="Z47" s="1" t="e">
        <f t="shared" si="7"/>
        <v>#DIV/0!</v>
      </c>
    </row>
    <row r="48" spans="1:26" x14ac:dyDescent="0.3">
      <c r="A48" s="8">
        <v>3</v>
      </c>
      <c r="B48" s="8">
        <v>-2</v>
      </c>
      <c r="C48" s="30">
        <v>-0.86353999999999898</v>
      </c>
      <c r="D48" s="30">
        <v>2.3733200000000001</v>
      </c>
      <c r="E48" s="26">
        <f t="shared" si="20"/>
        <v>3.8635399999999991</v>
      </c>
      <c r="F48" s="2">
        <f t="shared" si="21"/>
        <v>0.6266799999999999</v>
      </c>
      <c r="G48" s="8">
        <v>100</v>
      </c>
      <c r="H48" s="9">
        <v>100000</v>
      </c>
      <c r="I48" s="9">
        <f t="shared" si="22"/>
        <v>1.1364600000000009E-2</v>
      </c>
      <c r="J48" s="9">
        <f t="shared" si="23"/>
        <v>2.3733200000000002E-5</v>
      </c>
      <c r="K48" s="5">
        <f t="shared" si="0"/>
        <v>478.84819577638115</v>
      </c>
      <c r="L48" s="61"/>
      <c r="M48" s="16">
        <f>L42/I48</f>
        <v>2177.8153212607554</v>
      </c>
      <c r="N48" s="9">
        <f t="shared" si="5"/>
        <v>0.45458400000000038</v>
      </c>
      <c r="O48" s="5">
        <f t="shared" si="6"/>
        <v>1053.3767043635075</v>
      </c>
      <c r="Z48" s="1" t="e">
        <f t="shared" si="7"/>
        <v>#DIV/0!</v>
      </c>
    </row>
    <row r="49" spans="1:26" x14ac:dyDescent="0.3">
      <c r="A49" s="8">
        <v>3</v>
      </c>
      <c r="B49" s="8">
        <v>-1.5</v>
      </c>
      <c r="C49" s="30">
        <v>-0.38081999999999999</v>
      </c>
      <c r="D49" s="30">
        <v>2.3719999999999999</v>
      </c>
      <c r="E49" s="26">
        <f t="shared" si="20"/>
        <v>3.3808199999999999</v>
      </c>
      <c r="F49" s="2">
        <f t="shared" si="21"/>
        <v>0.62800000000000011</v>
      </c>
      <c r="G49" s="8">
        <v>100</v>
      </c>
      <c r="H49" s="9">
        <v>100000</v>
      </c>
      <c r="I49" s="9">
        <f t="shared" si="22"/>
        <v>1.11918E-2</v>
      </c>
      <c r="J49" s="9">
        <f t="shared" si="23"/>
        <v>2.372E-5</v>
      </c>
      <c r="K49" s="5">
        <f t="shared" si="0"/>
        <v>471.82967959527826</v>
      </c>
      <c r="L49" s="61"/>
      <c r="M49" s="16">
        <f>L42/I49</f>
        <v>2211.440518951375</v>
      </c>
      <c r="N49" s="9">
        <f t="shared" si="5"/>
        <v>0.44767199999999996</v>
      </c>
      <c r="O49" s="5">
        <f t="shared" si="6"/>
        <v>1053.9629005059023</v>
      </c>
      <c r="Z49" s="1" t="e">
        <f t="shared" si="7"/>
        <v>#DIV/0!</v>
      </c>
    </row>
    <row r="50" spans="1:26" x14ac:dyDescent="0.3">
      <c r="A50" s="8">
        <v>3</v>
      </c>
      <c r="B50" s="8">
        <v>-1</v>
      </c>
      <c r="C50" s="30">
        <v>9.2060000000000003E-2</v>
      </c>
      <c r="D50" s="30">
        <v>2.3860800000000002</v>
      </c>
      <c r="E50" s="26">
        <f t="shared" si="20"/>
        <v>2.90794</v>
      </c>
      <c r="F50" s="2">
        <f t="shared" si="21"/>
        <v>0.6139199999999998</v>
      </c>
      <c r="G50" s="8">
        <v>100</v>
      </c>
      <c r="H50" s="9">
        <v>100000</v>
      </c>
      <c r="I50" s="9">
        <f t="shared" si="22"/>
        <v>1.0920600000000001E-2</v>
      </c>
      <c r="J50" s="9">
        <f t="shared" si="23"/>
        <v>2.38608E-5</v>
      </c>
      <c r="K50" s="5">
        <f t="shared" si="0"/>
        <v>457.67954133977071</v>
      </c>
      <c r="L50" s="61"/>
      <c r="M50" s="16">
        <f>L42/I50</f>
        <v>2266.358991264216</v>
      </c>
      <c r="N50" s="9">
        <f t="shared" si="5"/>
        <v>0.43682399999999999</v>
      </c>
      <c r="O50" s="5">
        <f t="shared" si="6"/>
        <v>1047.7435794273454</v>
      </c>
      <c r="Z50" s="1" t="e">
        <f t="shared" si="7"/>
        <v>#DIV/0!</v>
      </c>
    </row>
    <row r="51" spans="1:26" x14ac:dyDescent="0.3">
      <c r="A51" s="8">
        <v>3</v>
      </c>
      <c r="B51" s="8">
        <v>-0.5</v>
      </c>
      <c r="C51" s="30">
        <v>0.57335999999999998</v>
      </c>
      <c r="D51" s="30">
        <v>2.3833199999999999</v>
      </c>
      <c r="E51" s="26">
        <f t="shared" si="20"/>
        <v>2.4266399999999999</v>
      </c>
      <c r="F51" s="2">
        <f t="shared" si="21"/>
        <v>0.61668000000000012</v>
      </c>
      <c r="G51" s="8">
        <v>100</v>
      </c>
      <c r="H51" s="9">
        <v>100000</v>
      </c>
      <c r="I51" s="9">
        <f t="shared" si="22"/>
        <v>1.0733600000000001E-2</v>
      </c>
      <c r="J51" s="9">
        <f t="shared" si="23"/>
        <v>2.3833199999999997E-5</v>
      </c>
      <c r="K51" s="5">
        <f t="shared" si="0"/>
        <v>450.36335867613258</v>
      </c>
      <c r="L51" s="61"/>
      <c r="M51" s="16">
        <f>L42/I51</f>
        <v>2305.843333084892</v>
      </c>
      <c r="N51" s="9">
        <f t="shared" si="5"/>
        <v>0.429344</v>
      </c>
      <c r="O51" s="5">
        <f t="shared" si="6"/>
        <v>1048.9569172414951</v>
      </c>
      <c r="Z51" s="1" t="e">
        <f t="shared" si="7"/>
        <v>#DIV/0!</v>
      </c>
    </row>
    <row r="52" spans="1:26" x14ac:dyDescent="0.3">
      <c r="A52" s="21">
        <v>2.5</v>
      </c>
      <c r="B52" s="21">
        <v>-5</v>
      </c>
      <c r="C52" s="31">
        <v>-4.0274599999999996</v>
      </c>
      <c r="D52" s="31">
        <v>1.8781000000000001</v>
      </c>
      <c r="E52" s="27">
        <f>A52-C52</f>
        <v>6.5274599999999996</v>
      </c>
      <c r="F52" s="25">
        <f>A52-D52</f>
        <v>0.6218999999999999</v>
      </c>
      <c r="G52" s="21">
        <v>100</v>
      </c>
      <c r="H52" s="22">
        <v>100000</v>
      </c>
      <c r="I52" s="22">
        <f>(C52-B52)/G52</f>
        <v>9.7254000000000038E-3</v>
      </c>
      <c r="J52" s="22">
        <f>(D52-0)/H52</f>
        <v>1.8781000000000002E-5</v>
      </c>
      <c r="K52" s="23">
        <f t="shared" si="0"/>
        <v>517.83185133911945</v>
      </c>
      <c r="L52" s="56">
        <f>Z53</f>
        <v>26</v>
      </c>
      <c r="M52" s="24">
        <f>L52/I52</f>
        <v>2673.4118905134997</v>
      </c>
      <c r="N52" s="22">
        <f t="shared" si="5"/>
        <v>0.38901600000000014</v>
      </c>
      <c r="O52" s="23">
        <f t="shared" si="6"/>
        <v>1331.1325275544432</v>
      </c>
      <c r="Z52" s="1" t="e">
        <f t="shared" si="7"/>
        <v>#DIV/0!</v>
      </c>
    </row>
    <row r="53" spans="1:26" x14ac:dyDescent="0.3">
      <c r="A53" s="21">
        <v>2.5</v>
      </c>
      <c r="B53" s="21">
        <v>-4.5</v>
      </c>
      <c r="C53" s="31">
        <v>-3.5420799999999999</v>
      </c>
      <c r="D53" s="31">
        <v>1.8856999999999999</v>
      </c>
      <c r="E53" s="27">
        <f t="shared" ref="E53:E61" si="24">A53-C53</f>
        <v>6.0420800000000003</v>
      </c>
      <c r="F53" s="25">
        <f t="shared" ref="F53:F61" si="25">A53-D53</f>
        <v>0.61430000000000007</v>
      </c>
      <c r="G53" s="21">
        <v>100</v>
      </c>
      <c r="H53" s="22">
        <v>100000</v>
      </c>
      <c r="I53" s="22">
        <f t="shared" ref="I53:I61" si="26">(C53-B53)/G53</f>
        <v>9.5792000000000013E-3</v>
      </c>
      <c r="J53" s="22">
        <f t="shared" ref="J53:J61" si="27">(D53-0)/H53</f>
        <v>1.8856999999999999E-5</v>
      </c>
      <c r="K53" s="23">
        <f t="shared" si="0"/>
        <v>507.99172721005471</v>
      </c>
      <c r="L53" s="59"/>
      <c r="M53" s="24">
        <f>L52/I53</f>
        <v>2714.2141306163348</v>
      </c>
      <c r="N53" s="22">
        <f t="shared" si="5"/>
        <v>0.38316800000000001</v>
      </c>
      <c r="O53" s="23">
        <f t="shared" si="6"/>
        <v>1325.7676194516625</v>
      </c>
      <c r="X53" s="38">
        <v>2.9999999999999997E-4</v>
      </c>
      <c r="Y53" s="37">
        <v>7.7999999999999996E-3</v>
      </c>
      <c r="Z53" s="37">
        <f t="shared" si="7"/>
        <v>26</v>
      </c>
    </row>
    <row r="54" spans="1:26" x14ac:dyDescent="0.3">
      <c r="A54" s="21">
        <v>2.5</v>
      </c>
      <c r="B54" s="21">
        <v>-4</v>
      </c>
      <c r="C54" s="31">
        <v>-3.0531799999999998</v>
      </c>
      <c r="D54" s="31">
        <v>1.8840600000000001</v>
      </c>
      <c r="E54" s="27">
        <f t="shared" si="24"/>
        <v>5.5531799999999993</v>
      </c>
      <c r="F54" s="25">
        <f t="shared" si="25"/>
        <v>0.61593999999999993</v>
      </c>
      <c r="G54" s="21">
        <v>100</v>
      </c>
      <c r="H54" s="22">
        <v>100000</v>
      </c>
      <c r="I54" s="22">
        <f t="shared" si="26"/>
        <v>9.468200000000003E-3</v>
      </c>
      <c r="J54" s="22">
        <f t="shared" si="27"/>
        <v>1.8840600000000001E-5</v>
      </c>
      <c r="K54" s="23">
        <f t="shared" si="0"/>
        <v>502.54238187743505</v>
      </c>
      <c r="L54" s="59"/>
      <c r="M54" s="24">
        <f>L52/I54</f>
        <v>2746.0340930694315</v>
      </c>
      <c r="N54" s="22">
        <f t="shared" si="5"/>
        <v>0.37872800000000012</v>
      </c>
      <c r="O54" s="23">
        <f t="shared" si="6"/>
        <v>1326.921647930533</v>
      </c>
      <c r="Z54" s="1" t="e">
        <f t="shared" si="7"/>
        <v>#DIV/0!</v>
      </c>
    </row>
    <row r="55" spans="1:26" x14ac:dyDescent="0.3">
      <c r="A55" s="21">
        <v>2.5</v>
      </c>
      <c r="B55" s="21">
        <v>-3.5</v>
      </c>
      <c r="C55" s="31">
        <v>-2.5659000000000001</v>
      </c>
      <c r="D55" s="31">
        <v>1.8828199999999999</v>
      </c>
      <c r="E55" s="27">
        <f t="shared" si="24"/>
        <v>5.0659000000000001</v>
      </c>
      <c r="F55" s="25">
        <f t="shared" si="25"/>
        <v>0.61718000000000006</v>
      </c>
      <c r="G55" s="21">
        <v>100</v>
      </c>
      <c r="H55" s="22">
        <v>100000</v>
      </c>
      <c r="I55" s="22">
        <f t="shared" si="26"/>
        <v>9.3409999999999986E-3</v>
      </c>
      <c r="J55" s="22">
        <f t="shared" si="27"/>
        <v>1.88282E-5</v>
      </c>
      <c r="K55" s="23">
        <f t="shared" si="0"/>
        <v>496.11752583890114</v>
      </c>
      <c r="L55" s="59"/>
      <c r="M55" s="24">
        <f>L52/I55</f>
        <v>2783.4278985119372</v>
      </c>
      <c r="N55" s="22">
        <f t="shared" si="5"/>
        <v>0.37363999999999992</v>
      </c>
      <c r="O55" s="23">
        <f t="shared" si="6"/>
        <v>1327.795540731456</v>
      </c>
      <c r="Z55" s="1" t="e">
        <f t="shared" si="7"/>
        <v>#DIV/0!</v>
      </c>
    </row>
    <row r="56" spans="1:26" x14ac:dyDescent="0.3">
      <c r="A56" s="21">
        <v>2.5</v>
      </c>
      <c r="B56" s="21">
        <v>-3</v>
      </c>
      <c r="C56" s="31">
        <v>-2.0779999999999998</v>
      </c>
      <c r="D56" s="31">
        <v>1.8786799999999999</v>
      </c>
      <c r="E56" s="27">
        <f t="shared" si="24"/>
        <v>4.5779999999999994</v>
      </c>
      <c r="F56" s="25">
        <f t="shared" si="25"/>
        <v>0.62132000000000009</v>
      </c>
      <c r="G56" s="21">
        <v>100</v>
      </c>
      <c r="H56" s="22">
        <v>100000</v>
      </c>
      <c r="I56" s="22">
        <f t="shared" si="26"/>
        <v>9.2200000000000008E-3</v>
      </c>
      <c r="J56" s="22">
        <f t="shared" si="27"/>
        <v>1.8786799999999998E-5</v>
      </c>
      <c r="K56" s="23">
        <f t="shared" si="0"/>
        <v>490.77011518725925</v>
      </c>
      <c r="L56" s="59"/>
      <c r="M56" s="24">
        <f>L52/I56</f>
        <v>2819.9566160520603</v>
      </c>
      <c r="N56" s="22">
        <f t="shared" si="5"/>
        <v>0.36880000000000002</v>
      </c>
      <c r="O56" s="23">
        <f t="shared" si="6"/>
        <v>1330.7215704643688</v>
      </c>
      <c r="Z56" s="1" t="e">
        <f t="shared" si="7"/>
        <v>#DIV/0!</v>
      </c>
    </row>
    <row r="57" spans="1:26" x14ac:dyDescent="0.3">
      <c r="A57" s="21">
        <v>2.5</v>
      </c>
      <c r="B57" s="21">
        <v>-2.5</v>
      </c>
      <c r="C57" s="31">
        <v>-1.5949800000000001</v>
      </c>
      <c r="D57" s="31">
        <v>1.8824999999999901</v>
      </c>
      <c r="E57" s="27">
        <f t="shared" si="24"/>
        <v>4.0949799999999996</v>
      </c>
      <c r="F57" s="25">
        <f t="shared" si="25"/>
        <v>0.61750000000000993</v>
      </c>
      <c r="G57" s="21">
        <v>100</v>
      </c>
      <c r="H57" s="22">
        <v>100000</v>
      </c>
      <c r="I57" s="22">
        <f t="shared" si="26"/>
        <v>9.0501999999999996E-3</v>
      </c>
      <c r="J57" s="22">
        <f t="shared" si="27"/>
        <v>1.8824999999999902E-5</v>
      </c>
      <c r="K57" s="23">
        <f t="shared" si="0"/>
        <v>480.7543160690596</v>
      </c>
      <c r="L57" s="59"/>
      <c r="M57" s="24">
        <f>L52/I57</f>
        <v>2872.8646880731917</v>
      </c>
      <c r="N57" s="22">
        <f t="shared" si="5"/>
        <v>0.36200799999999994</v>
      </c>
      <c r="O57" s="23">
        <f t="shared" si="6"/>
        <v>1328.0212483399805</v>
      </c>
      <c r="Z57" s="1" t="e">
        <f t="shared" si="7"/>
        <v>#DIV/0!</v>
      </c>
    </row>
    <row r="58" spans="1:26" x14ac:dyDescent="0.3">
      <c r="A58" s="21">
        <v>2.5</v>
      </c>
      <c r="B58" s="21">
        <v>-2</v>
      </c>
      <c r="C58" s="31">
        <v>-1.1084399999999901</v>
      </c>
      <c r="D58" s="31">
        <v>1.87954</v>
      </c>
      <c r="E58" s="27">
        <f t="shared" si="24"/>
        <v>3.6084399999999901</v>
      </c>
      <c r="F58" s="25">
        <f t="shared" si="25"/>
        <v>0.62046000000000001</v>
      </c>
      <c r="G58" s="21">
        <v>100</v>
      </c>
      <c r="H58" s="22">
        <v>100000</v>
      </c>
      <c r="I58" s="22">
        <f t="shared" si="26"/>
        <v>8.9156000000000998E-3</v>
      </c>
      <c r="J58" s="22">
        <f t="shared" si="27"/>
        <v>1.87954E-5</v>
      </c>
      <c r="K58" s="23">
        <f t="shared" si="0"/>
        <v>474.35010694106535</v>
      </c>
      <c r="L58" s="59"/>
      <c r="M58" s="24">
        <f>L52/I58</f>
        <v>2916.2367086903528</v>
      </c>
      <c r="N58" s="22">
        <f t="shared" si="5"/>
        <v>0.35662400000000399</v>
      </c>
      <c r="O58" s="23">
        <f t="shared" si="6"/>
        <v>1330.1126871468553</v>
      </c>
      <c r="Z58" s="1" t="e">
        <f t="shared" si="7"/>
        <v>#DIV/0!</v>
      </c>
    </row>
    <row r="59" spans="1:26" x14ac:dyDescent="0.3">
      <c r="A59" s="21">
        <v>2.5</v>
      </c>
      <c r="B59" s="21">
        <v>-1.5</v>
      </c>
      <c r="C59" s="31">
        <v>-0.62392000000000003</v>
      </c>
      <c r="D59" s="31">
        <v>1.8801399999999999</v>
      </c>
      <c r="E59" s="27">
        <f t="shared" si="24"/>
        <v>3.12392</v>
      </c>
      <c r="F59" s="25">
        <f t="shared" si="25"/>
        <v>0.61986000000000008</v>
      </c>
      <c r="G59" s="21">
        <v>100</v>
      </c>
      <c r="H59" s="22">
        <v>100000</v>
      </c>
      <c r="I59" s="22">
        <f t="shared" si="26"/>
        <v>8.7607999999999991E-3</v>
      </c>
      <c r="J59" s="22">
        <f t="shared" si="27"/>
        <v>1.8801399999999999E-5</v>
      </c>
      <c r="K59" s="23">
        <f t="shared" si="0"/>
        <v>465.96530045634898</v>
      </c>
      <c r="L59" s="59"/>
      <c r="M59" s="24">
        <f>L52/I59</f>
        <v>2967.765500867501</v>
      </c>
      <c r="N59" s="22">
        <f t="shared" si="5"/>
        <v>0.35043199999999997</v>
      </c>
      <c r="O59" s="23">
        <f t="shared" si="6"/>
        <v>1329.6882147074155</v>
      </c>
      <c r="Z59" s="1" t="e">
        <f t="shared" si="7"/>
        <v>#DIV/0!</v>
      </c>
    </row>
    <row r="60" spans="1:26" x14ac:dyDescent="0.3">
      <c r="A60" s="21">
        <v>2.5</v>
      </c>
      <c r="B60" s="21">
        <v>-1</v>
      </c>
      <c r="C60" s="31">
        <v>-0.13832</v>
      </c>
      <c r="D60" s="31">
        <v>1.8781600000000001</v>
      </c>
      <c r="E60" s="27">
        <f t="shared" si="24"/>
        <v>2.6383200000000002</v>
      </c>
      <c r="F60" s="25">
        <f t="shared" si="25"/>
        <v>0.62183999999999995</v>
      </c>
      <c r="G60" s="21">
        <v>100</v>
      </c>
      <c r="H60" s="22">
        <v>100000</v>
      </c>
      <c r="I60" s="22">
        <f t="shared" si="26"/>
        <v>8.6168000000000008E-3</v>
      </c>
      <c r="J60" s="22">
        <f t="shared" si="27"/>
        <v>1.87816E-5</v>
      </c>
      <c r="K60" s="23">
        <f t="shared" si="0"/>
        <v>458.78945350768845</v>
      </c>
      <c r="L60" s="59"/>
      <c r="M60" s="24">
        <f>L52/I60</f>
        <v>3017.3614334787853</v>
      </c>
      <c r="N60" s="22">
        <f t="shared" si="5"/>
        <v>0.34467200000000003</v>
      </c>
      <c r="O60" s="23">
        <f t="shared" si="6"/>
        <v>1331.0900029816416</v>
      </c>
      <c r="Z60" s="1" t="e">
        <f t="shared" si="7"/>
        <v>#DIV/0!</v>
      </c>
    </row>
    <row r="61" spans="1:26" x14ac:dyDescent="0.3">
      <c r="A61" s="21">
        <v>2.5</v>
      </c>
      <c r="B61" s="21">
        <v>-0.5</v>
      </c>
      <c r="C61" s="31">
        <v>0.33642</v>
      </c>
      <c r="D61" s="31">
        <v>1.89188</v>
      </c>
      <c r="E61" s="27">
        <f t="shared" si="24"/>
        <v>2.1635800000000001</v>
      </c>
      <c r="F61" s="25">
        <f t="shared" si="25"/>
        <v>0.60811999999999999</v>
      </c>
      <c r="G61" s="21">
        <v>100</v>
      </c>
      <c r="H61" s="22">
        <v>100000</v>
      </c>
      <c r="I61" s="22">
        <f t="shared" si="26"/>
        <v>8.3641999999999987E-3</v>
      </c>
      <c r="J61" s="22">
        <f t="shared" si="27"/>
        <v>1.8918799999999999E-5</v>
      </c>
      <c r="K61" s="23">
        <f t="shared" si="0"/>
        <v>442.11049326595764</v>
      </c>
      <c r="L61" s="59"/>
      <c r="M61" s="24">
        <f>L52/I61</f>
        <v>3108.4861672365564</v>
      </c>
      <c r="N61" s="22">
        <f t="shared" si="5"/>
        <v>0.33456799999999992</v>
      </c>
      <c r="O61" s="23">
        <f t="shared" si="6"/>
        <v>1321.4368776032309</v>
      </c>
      <c r="Z61" s="1" t="e">
        <f t="shared" si="7"/>
        <v>#DIV/0!</v>
      </c>
    </row>
    <row r="62" spans="1:26" x14ac:dyDescent="0.3">
      <c r="A62" s="10">
        <v>2</v>
      </c>
      <c r="B62" s="10">
        <v>-5</v>
      </c>
      <c r="C62" s="32">
        <v>-4.2840400000000001</v>
      </c>
      <c r="D62" s="32">
        <v>1.39032</v>
      </c>
      <c r="E62" s="28">
        <f>A62-C62</f>
        <v>6.2840400000000001</v>
      </c>
      <c r="F62" s="3">
        <f>A62-D62</f>
        <v>0.60968</v>
      </c>
      <c r="G62" s="10">
        <v>100</v>
      </c>
      <c r="H62" s="11">
        <v>100000</v>
      </c>
      <c r="I62" s="11">
        <f>(C62-B62)/G62</f>
        <v>7.1595999999999995E-3</v>
      </c>
      <c r="J62" s="11">
        <f>(D62-0)/H62</f>
        <v>1.3903199999999999E-5</v>
      </c>
      <c r="K62" s="6">
        <f t="shared" si="0"/>
        <v>514.96058461361417</v>
      </c>
      <c r="L62" s="52">
        <f>Z63</f>
        <v>28.999999999999996</v>
      </c>
      <c r="M62" s="17">
        <f>L62/I62</f>
        <v>4050.5056148388176</v>
      </c>
      <c r="N62" s="11">
        <f t="shared" si="5"/>
        <v>0.28638399999999997</v>
      </c>
      <c r="O62" s="6">
        <f t="shared" si="6"/>
        <v>1798.1471891363142</v>
      </c>
      <c r="Z62" s="1" t="e">
        <f t="shared" si="7"/>
        <v>#DIV/0!</v>
      </c>
    </row>
    <row r="63" spans="1:26" x14ac:dyDescent="0.3">
      <c r="A63" s="10">
        <v>2</v>
      </c>
      <c r="B63" s="10">
        <v>-4.5</v>
      </c>
      <c r="C63" s="32">
        <v>-3.7920400000000001</v>
      </c>
      <c r="D63" s="32">
        <v>1.38896</v>
      </c>
      <c r="E63" s="28">
        <f t="shared" ref="E63:E71" si="28">A63-C63</f>
        <v>5.7920400000000001</v>
      </c>
      <c r="F63" s="3">
        <f t="shared" ref="F63:F71" si="29">A63-D63</f>
        <v>0.61104000000000003</v>
      </c>
      <c r="G63" s="10">
        <v>100</v>
      </c>
      <c r="H63" s="11">
        <v>100000</v>
      </c>
      <c r="I63" s="11">
        <f t="shared" ref="I63:I71" si="30">(C63-B63)/G63</f>
        <v>7.0795999999999993E-3</v>
      </c>
      <c r="J63" s="11">
        <f t="shared" ref="J63:J71" si="31">(D63-0)/H63</f>
        <v>1.38896E-5</v>
      </c>
      <c r="K63" s="6">
        <f t="shared" si="0"/>
        <v>509.70510309872128</v>
      </c>
      <c r="L63" s="57"/>
      <c r="M63" s="17">
        <f>L62/I63</f>
        <v>4096.2766257980675</v>
      </c>
      <c r="N63" s="11">
        <f t="shared" si="5"/>
        <v>0.28318399999999994</v>
      </c>
      <c r="O63" s="6">
        <f t="shared" si="6"/>
        <v>1799.9078447183506</v>
      </c>
      <c r="X63" s="38">
        <v>2.0000000000000001E-4</v>
      </c>
      <c r="Y63" s="37">
        <v>5.7999999999999996E-3</v>
      </c>
      <c r="Z63" s="37">
        <f t="shared" si="7"/>
        <v>28.999999999999996</v>
      </c>
    </row>
    <row r="64" spans="1:26" x14ac:dyDescent="0.3">
      <c r="A64" s="10">
        <v>2</v>
      </c>
      <c r="B64" s="10">
        <v>-4</v>
      </c>
      <c r="C64" s="32">
        <v>-3.3035600000000001</v>
      </c>
      <c r="D64" s="32">
        <v>1.3956599999999999</v>
      </c>
      <c r="E64" s="28">
        <f t="shared" si="28"/>
        <v>5.3035600000000001</v>
      </c>
      <c r="F64" s="3">
        <f t="shared" si="29"/>
        <v>0.6043400000000001</v>
      </c>
      <c r="G64" s="10">
        <v>100</v>
      </c>
      <c r="H64" s="11">
        <v>100000</v>
      </c>
      <c r="I64" s="11">
        <f t="shared" si="30"/>
        <v>6.9643999999999991E-3</v>
      </c>
      <c r="J64" s="11">
        <f t="shared" si="31"/>
        <v>1.3956599999999999E-5</v>
      </c>
      <c r="K64" s="6">
        <f t="shared" si="0"/>
        <v>499.00405542897261</v>
      </c>
      <c r="L64" s="57"/>
      <c r="M64" s="17">
        <f>L62/I64</f>
        <v>4164.0342312331286</v>
      </c>
      <c r="N64" s="11">
        <f t="shared" si="5"/>
        <v>0.27857599999999993</v>
      </c>
      <c r="O64" s="6">
        <f t="shared" si="6"/>
        <v>1791.2672140779275</v>
      </c>
      <c r="Z64" s="1" t="e">
        <f t="shared" si="7"/>
        <v>#DIV/0!</v>
      </c>
    </row>
    <row r="65" spans="1:26" x14ac:dyDescent="0.3">
      <c r="A65" s="10">
        <v>2</v>
      </c>
      <c r="B65" s="10">
        <v>-3.5</v>
      </c>
      <c r="C65" s="32">
        <v>-2.80972</v>
      </c>
      <c r="D65" s="32">
        <v>1.38994</v>
      </c>
      <c r="E65" s="28">
        <f t="shared" si="28"/>
        <v>4.8097200000000004</v>
      </c>
      <c r="F65" s="3">
        <f t="shared" si="29"/>
        <v>0.61006000000000005</v>
      </c>
      <c r="G65" s="10">
        <v>100</v>
      </c>
      <c r="H65" s="11">
        <v>100000</v>
      </c>
      <c r="I65" s="11">
        <f t="shared" si="30"/>
        <v>6.9027999999999997E-3</v>
      </c>
      <c r="J65" s="11">
        <f t="shared" si="31"/>
        <v>1.3899399999999999E-5</v>
      </c>
      <c r="K65" s="6">
        <f t="shared" si="0"/>
        <v>496.6257536296531</v>
      </c>
      <c r="L65" s="57"/>
      <c r="M65" s="17">
        <f>L62/I65</f>
        <v>4201.1937184910466</v>
      </c>
      <c r="N65" s="11">
        <f t="shared" si="5"/>
        <v>0.27611199999999997</v>
      </c>
      <c r="O65" s="6">
        <f t="shared" si="6"/>
        <v>1798.6387901636044</v>
      </c>
      <c r="Z65" s="1" t="e">
        <f t="shared" si="7"/>
        <v>#DIV/0!</v>
      </c>
    </row>
    <row r="66" spans="1:26" x14ac:dyDescent="0.3">
      <c r="A66" s="10">
        <v>2</v>
      </c>
      <c r="B66" s="10">
        <v>-3</v>
      </c>
      <c r="C66" s="32">
        <v>-2.3163</v>
      </c>
      <c r="D66" s="32">
        <v>1.38472</v>
      </c>
      <c r="E66" s="28">
        <f t="shared" si="28"/>
        <v>4.3163</v>
      </c>
      <c r="F66" s="3">
        <f t="shared" si="29"/>
        <v>0.61528000000000005</v>
      </c>
      <c r="G66" s="10">
        <v>100</v>
      </c>
      <c r="H66" s="11">
        <v>100000</v>
      </c>
      <c r="I66" s="11">
        <f t="shared" si="30"/>
        <v>6.8369999999999993E-3</v>
      </c>
      <c r="J66" s="11">
        <f t="shared" si="31"/>
        <v>1.38472E-5</v>
      </c>
      <c r="K66" s="6">
        <f t="shared" ref="K66:K91" si="32">I66/J66</f>
        <v>493.74602807787852</v>
      </c>
      <c r="L66" s="57"/>
      <c r="M66" s="17">
        <f>L62/I66</f>
        <v>4241.6264443469354</v>
      </c>
      <c r="N66" s="11">
        <f t="shared" si="5"/>
        <v>0.27347999999999995</v>
      </c>
      <c r="O66" s="6">
        <f t="shared" si="6"/>
        <v>1805.4191461089608</v>
      </c>
      <c r="Z66" s="1" t="e">
        <f t="shared" si="7"/>
        <v>#DIV/0!</v>
      </c>
    </row>
    <row r="67" spans="1:26" x14ac:dyDescent="0.3">
      <c r="A67" s="10">
        <v>2</v>
      </c>
      <c r="B67" s="10">
        <v>-2.5</v>
      </c>
      <c r="C67" s="32">
        <v>-1.8305</v>
      </c>
      <c r="D67" s="32">
        <v>1.38768</v>
      </c>
      <c r="E67" s="28">
        <f t="shared" si="28"/>
        <v>3.8304999999999998</v>
      </c>
      <c r="F67" s="3">
        <f t="shared" si="29"/>
        <v>0.61231999999999998</v>
      </c>
      <c r="G67" s="10">
        <v>100</v>
      </c>
      <c r="H67" s="11">
        <v>100000</v>
      </c>
      <c r="I67" s="11">
        <f t="shared" si="30"/>
        <v>6.6949999999999996E-3</v>
      </c>
      <c r="J67" s="11">
        <f t="shared" si="31"/>
        <v>1.3876800000000001E-5</v>
      </c>
      <c r="K67" s="6">
        <f t="shared" si="32"/>
        <v>482.45993312579265</v>
      </c>
      <c r="L67" s="57"/>
      <c r="M67" s="17">
        <f>L62/I67</f>
        <v>4331.590739357729</v>
      </c>
      <c r="N67" s="11">
        <f t="shared" ref="N67:N91" si="33">I67/0.025</f>
        <v>0.26779999999999998</v>
      </c>
      <c r="O67" s="6">
        <f t="shared" ref="O67:O91" si="34">0.025/J67</f>
        <v>1801.568084861063</v>
      </c>
      <c r="Z67" s="1" t="e">
        <f t="shared" si="7"/>
        <v>#DIV/0!</v>
      </c>
    </row>
    <row r="68" spans="1:26" x14ac:dyDescent="0.3">
      <c r="A68" s="10">
        <v>2</v>
      </c>
      <c r="B68" s="10">
        <v>-2</v>
      </c>
      <c r="C68" s="32">
        <v>-1.3402400000000001</v>
      </c>
      <c r="D68" s="32">
        <v>1.3839600000000001</v>
      </c>
      <c r="E68" s="28">
        <f t="shared" si="28"/>
        <v>3.3402400000000001</v>
      </c>
      <c r="F68" s="3">
        <f t="shared" si="29"/>
        <v>0.61603999999999992</v>
      </c>
      <c r="G68" s="10">
        <v>100</v>
      </c>
      <c r="H68" s="11">
        <v>100000</v>
      </c>
      <c r="I68" s="11">
        <f t="shared" si="30"/>
        <v>6.5975999999999986E-3</v>
      </c>
      <c r="J68" s="11">
        <f t="shared" si="31"/>
        <v>1.38396E-5</v>
      </c>
      <c r="K68" s="6">
        <f t="shared" si="32"/>
        <v>476.71898031735009</v>
      </c>
      <c r="L68" s="57"/>
      <c r="M68" s="17">
        <f>L62/I68</f>
        <v>4395.53777131078</v>
      </c>
      <c r="N68" s="11">
        <f t="shared" si="33"/>
        <v>0.26390399999999992</v>
      </c>
      <c r="O68" s="6">
        <f t="shared" si="34"/>
        <v>1806.4105899014423</v>
      </c>
      <c r="Z68" s="1" t="e">
        <f t="shared" si="7"/>
        <v>#DIV/0!</v>
      </c>
    </row>
    <row r="69" spans="1:26" x14ac:dyDescent="0.3">
      <c r="A69" s="10">
        <v>2</v>
      </c>
      <c r="B69" s="10">
        <v>-1.5</v>
      </c>
      <c r="C69" s="32">
        <v>-0.85237999999999903</v>
      </c>
      <c r="D69" s="32">
        <v>1.3845399999999899</v>
      </c>
      <c r="E69" s="28">
        <f t="shared" si="28"/>
        <v>2.8523799999999992</v>
      </c>
      <c r="F69" s="3">
        <f t="shared" si="29"/>
        <v>0.61546000000001011</v>
      </c>
      <c r="G69" s="10">
        <v>100</v>
      </c>
      <c r="H69" s="11">
        <v>100000</v>
      </c>
      <c r="I69" s="11">
        <f t="shared" si="30"/>
        <v>6.4762000000000101E-3</v>
      </c>
      <c r="J69" s="11">
        <f t="shared" si="31"/>
        <v>1.38453999999999E-5</v>
      </c>
      <c r="K69" s="6">
        <f t="shared" si="32"/>
        <v>467.75102200009081</v>
      </c>
      <c r="L69" s="57"/>
      <c r="M69" s="17">
        <f>L62/I69</f>
        <v>4477.9345912726521</v>
      </c>
      <c r="N69" s="11">
        <f t="shared" si="33"/>
        <v>0.25904800000000039</v>
      </c>
      <c r="O69" s="6">
        <f t="shared" si="34"/>
        <v>1805.6538633770192</v>
      </c>
      <c r="Z69" s="1" t="e">
        <f t="shared" si="7"/>
        <v>#DIV/0!</v>
      </c>
    </row>
    <row r="70" spans="1:26" x14ac:dyDescent="0.3">
      <c r="A70" s="10">
        <v>2</v>
      </c>
      <c r="B70" s="10">
        <v>-1</v>
      </c>
      <c r="C70" s="32">
        <v>-0.36246</v>
      </c>
      <c r="D70" s="32">
        <v>1.3822399999999999</v>
      </c>
      <c r="E70" s="28">
        <f t="shared" si="28"/>
        <v>2.36246</v>
      </c>
      <c r="F70" s="3">
        <f t="shared" si="29"/>
        <v>0.61776000000000009</v>
      </c>
      <c r="G70" s="10">
        <v>100</v>
      </c>
      <c r="H70" s="11">
        <v>100000</v>
      </c>
      <c r="I70" s="11">
        <f t="shared" si="30"/>
        <v>6.3753999999999998E-3</v>
      </c>
      <c r="J70" s="11">
        <f t="shared" si="31"/>
        <v>1.3822399999999998E-5</v>
      </c>
      <c r="K70" s="6">
        <f t="shared" si="32"/>
        <v>461.23683296677859</v>
      </c>
      <c r="L70" s="57"/>
      <c r="M70" s="17">
        <f>L62/I70</f>
        <v>4548.7341970699872</v>
      </c>
      <c r="N70" s="11">
        <f t="shared" si="33"/>
        <v>0.25501599999999996</v>
      </c>
      <c r="O70" s="6">
        <f t="shared" si="34"/>
        <v>1808.6584095381413</v>
      </c>
      <c r="Z70" s="1" t="e">
        <f t="shared" si="7"/>
        <v>#DIV/0!</v>
      </c>
    </row>
    <row r="71" spans="1:26" x14ac:dyDescent="0.3">
      <c r="A71" s="10">
        <v>2</v>
      </c>
      <c r="B71" s="10">
        <v>-0.5</v>
      </c>
      <c r="C71" s="32">
        <v>0.11098</v>
      </c>
      <c r="D71" s="32">
        <v>1.39994</v>
      </c>
      <c r="E71" s="28">
        <f t="shared" si="28"/>
        <v>1.8890199999999999</v>
      </c>
      <c r="F71" s="3">
        <f t="shared" si="29"/>
        <v>0.60006000000000004</v>
      </c>
      <c r="G71" s="10">
        <v>100</v>
      </c>
      <c r="H71" s="11">
        <v>100000</v>
      </c>
      <c r="I71" s="11">
        <f t="shared" si="30"/>
        <v>6.1097999999999994E-3</v>
      </c>
      <c r="J71" s="11">
        <f t="shared" si="31"/>
        <v>1.39994E-5</v>
      </c>
      <c r="K71" s="6">
        <f t="shared" si="32"/>
        <v>436.43298998528502</v>
      </c>
      <c r="L71" s="57"/>
      <c r="M71" s="17">
        <f>L62/I71</f>
        <v>4746.4728796359941</v>
      </c>
      <c r="N71" s="11">
        <f t="shared" si="33"/>
        <v>0.24439199999999997</v>
      </c>
      <c r="O71" s="6">
        <f t="shared" si="34"/>
        <v>1785.7908196065546</v>
      </c>
      <c r="Z71" s="1" t="e">
        <f t="shared" ref="Z71:Z91" si="35">ABS(-Y71/X71)</f>
        <v>#DIV/0!</v>
      </c>
    </row>
    <row r="72" spans="1:26" x14ac:dyDescent="0.3">
      <c r="A72" s="12">
        <v>1.5</v>
      </c>
      <c r="B72" s="12">
        <v>-5</v>
      </c>
      <c r="C72" s="33">
        <v>-4.5319799999999999</v>
      </c>
      <c r="D72" s="33">
        <v>0.90125999999999995</v>
      </c>
      <c r="E72" s="29">
        <f>A72-C72</f>
        <v>6.0319799999999999</v>
      </c>
      <c r="F72" s="4">
        <f>A72-D72</f>
        <v>0.59874000000000005</v>
      </c>
      <c r="G72" s="12">
        <v>100</v>
      </c>
      <c r="H72" s="13">
        <v>100000</v>
      </c>
      <c r="I72" s="13">
        <f>(C72-B72)/G72</f>
        <v>4.6802000000000007E-3</v>
      </c>
      <c r="J72" s="13">
        <f>(D72-0)/H72</f>
        <v>9.0125999999999991E-6</v>
      </c>
      <c r="K72" s="7">
        <f t="shared" si="32"/>
        <v>519.29520892972073</v>
      </c>
      <c r="L72" s="54">
        <f>Z73</f>
        <v>19</v>
      </c>
      <c r="M72" s="18">
        <f>L72/I72</f>
        <v>4059.6555702747742</v>
      </c>
      <c r="N72" s="13">
        <f t="shared" si="33"/>
        <v>0.18720800000000001</v>
      </c>
      <c r="O72" s="7">
        <f t="shared" si="34"/>
        <v>2773.8943257217679</v>
      </c>
      <c r="Z72" s="1" t="e">
        <f t="shared" si="35"/>
        <v>#DIV/0!</v>
      </c>
    </row>
    <row r="73" spans="1:26" x14ac:dyDescent="0.3">
      <c r="A73" s="12">
        <v>1.5</v>
      </c>
      <c r="B73" s="12">
        <v>-4.5</v>
      </c>
      <c r="C73" s="33">
        <v>-4.0380000000000003</v>
      </c>
      <c r="D73" s="33">
        <v>0.89971999999999996</v>
      </c>
      <c r="E73" s="29">
        <f t="shared" ref="E73:E81" si="36">A73-C73</f>
        <v>5.5380000000000003</v>
      </c>
      <c r="F73" s="4">
        <f t="shared" ref="F73:F81" si="37">A73-D73</f>
        <v>0.60028000000000004</v>
      </c>
      <c r="G73" s="12">
        <v>100</v>
      </c>
      <c r="H73" s="13">
        <v>100000</v>
      </c>
      <c r="I73" s="13">
        <f t="shared" ref="I73:I81" si="38">(C73-B73)/G73</f>
        <v>4.6199999999999974E-3</v>
      </c>
      <c r="J73" s="13">
        <f t="shared" ref="J73:J81" si="39">(D73-0)/H73</f>
        <v>8.9971999999999992E-6</v>
      </c>
      <c r="K73" s="7">
        <f t="shared" si="32"/>
        <v>513.49308673809605</v>
      </c>
      <c r="L73" s="60"/>
      <c r="M73" s="18">
        <f>L72/I73</f>
        <v>4112.5541125541149</v>
      </c>
      <c r="N73" s="13">
        <f t="shared" si="33"/>
        <v>0.18479999999999988</v>
      </c>
      <c r="O73" s="7">
        <f t="shared" si="34"/>
        <v>2778.6422442537682</v>
      </c>
      <c r="X73" s="38">
        <v>2.0000000000000001E-4</v>
      </c>
      <c r="Y73" s="37">
        <v>3.8E-3</v>
      </c>
      <c r="Z73" s="37">
        <f t="shared" si="35"/>
        <v>19</v>
      </c>
    </row>
    <row r="74" spans="1:26" x14ac:dyDescent="0.3">
      <c r="A74" s="12">
        <v>1.5</v>
      </c>
      <c r="B74" s="12">
        <v>-4</v>
      </c>
      <c r="C74" s="33">
        <v>-3.54605999999999</v>
      </c>
      <c r="D74" s="33">
        <v>0.90615999999999997</v>
      </c>
      <c r="E74" s="29">
        <f t="shared" si="36"/>
        <v>5.04605999999999</v>
      </c>
      <c r="F74" s="4">
        <f t="shared" si="37"/>
        <v>0.59384000000000003</v>
      </c>
      <c r="G74" s="12">
        <v>100</v>
      </c>
      <c r="H74" s="13">
        <v>100000</v>
      </c>
      <c r="I74" s="13">
        <f t="shared" si="38"/>
        <v>4.5394000000000996E-3</v>
      </c>
      <c r="J74" s="13">
        <f t="shared" si="39"/>
        <v>9.0615999999999998E-6</v>
      </c>
      <c r="K74" s="7">
        <f t="shared" si="32"/>
        <v>500.9490597687053</v>
      </c>
      <c r="L74" s="60"/>
      <c r="M74" s="18">
        <f>L72/I74</f>
        <v>4185.5751861478575</v>
      </c>
      <c r="N74" s="13">
        <f t="shared" si="33"/>
        <v>0.18157600000000398</v>
      </c>
      <c r="O74" s="7">
        <f t="shared" si="34"/>
        <v>2758.8946764368325</v>
      </c>
      <c r="Z74" s="1" t="e">
        <f t="shared" si="35"/>
        <v>#DIV/0!</v>
      </c>
    </row>
    <row r="75" spans="1:26" x14ac:dyDescent="0.3">
      <c r="A75" s="12">
        <v>1.5</v>
      </c>
      <c r="B75" s="12">
        <v>-3.5</v>
      </c>
      <c r="C75" s="33">
        <v>-3.0520399999999999</v>
      </c>
      <c r="D75" s="33">
        <v>0.90446000000000004</v>
      </c>
      <c r="E75" s="29">
        <f t="shared" si="36"/>
        <v>4.5520399999999999</v>
      </c>
      <c r="F75" s="4">
        <f t="shared" si="37"/>
        <v>0.59553999999999996</v>
      </c>
      <c r="G75" s="12">
        <v>100</v>
      </c>
      <c r="H75" s="13">
        <v>100000</v>
      </c>
      <c r="I75" s="13">
        <f t="shared" si="38"/>
        <v>4.4796000000000011E-3</v>
      </c>
      <c r="J75" s="13">
        <f t="shared" si="39"/>
        <v>9.0445999999999998E-6</v>
      </c>
      <c r="K75" s="7">
        <f t="shared" si="32"/>
        <v>495.27895097627328</v>
      </c>
      <c r="L75" s="60"/>
      <c r="M75" s="18">
        <f>L72/I75</f>
        <v>4241.4501294758447</v>
      </c>
      <c r="N75" s="13">
        <f t="shared" si="33"/>
        <v>0.17918400000000004</v>
      </c>
      <c r="O75" s="7">
        <f t="shared" si="34"/>
        <v>2764.0802246644407</v>
      </c>
      <c r="Z75" s="1" t="e">
        <f t="shared" si="35"/>
        <v>#DIV/0!</v>
      </c>
    </row>
    <row r="76" spans="1:26" x14ac:dyDescent="0.3">
      <c r="A76" s="12">
        <v>1.5</v>
      </c>
      <c r="B76" s="12">
        <v>-3</v>
      </c>
      <c r="C76" s="33">
        <v>-2.55845999999999</v>
      </c>
      <c r="D76" s="33">
        <v>0.902639999999999</v>
      </c>
      <c r="E76" s="29">
        <f t="shared" si="36"/>
        <v>4.0584599999999895</v>
      </c>
      <c r="F76" s="4">
        <f t="shared" si="37"/>
        <v>0.597360000000001</v>
      </c>
      <c r="G76" s="12">
        <v>100</v>
      </c>
      <c r="H76" s="13">
        <v>100000</v>
      </c>
      <c r="I76" s="13">
        <f t="shared" si="38"/>
        <v>4.4154000000001005E-3</v>
      </c>
      <c r="J76" s="13">
        <f t="shared" si="39"/>
        <v>9.0263999999999904E-6</v>
      </c>
      <c r="K76" s="7">
        <f t="shared" si="32"/>
        <v>489.16511566074018</v>
      </c>
      <c r="L76" s="60"/>
      <c r="M76" s="18">
        <f>L72/I76</f>
        <v>4303.1208950490482</v>
      </c>
      <c r="N76" s="13">
        <f t="shared" si="33"/>
        <v>0.17661600000000402</v>
      </c>
      <c r="O76" s="7">
        <f t="shared" si="34"/>
        <v>2769.653460958968</v>
      </c>
      <c r="Z76" s="1" t="e">
        <f t="shared" si="35"/>
        <v>#DIV/0!</v>
      </c>
    </row>
    <row r="77" spans="1:26" x14ac:dyDescent="0.3">
      <c r="A77" s="12">
        <v>1.5</v>
      </c>
      <c r="B77" s="12">
        <v>-2.5</v>
      </c>
      <c r="C77" s="33">
        <v>-2.0653800000000002</v>
      </c>
      <c r="D77" s="33">
        <v>0.90027999999999997</v>
      </c>
      <c r="E77" s="29">
        <f t="shared" si="36"/>
        <v>3.5653800000000002</v>
      </c>
      <c r="F77" s="4">
        <f t="shared" si="37"/>
        <v>0.59972000000000003</v>
      </c>
      <c r="G77" s="12">
        <v>100</v>
      </c>
      <c r="H77" s="13">
        <v>100000</v>
      </c>
      <c r="I77" s="13">
        <f t="shared" si="38"/>
        <v>4.346199999999998E-3</v>
      </c>
      <c r="J77" s="13">
        <f t="shared" si="39"/>
        <v>9.0027999999999996E-6</v>
      </c>
      <c r="K77" s="7">
        <f t="shared" si="32"/>
        <v>482.76091882525418</v>
      </c>
      <c r="L77" s="60"/>
      <c r="M77" s="18">
        <f>L72/I77</f>
        <v>4371.6349914868179</v>
      </c>
      <c r="N77" s="13">
        <f t="shared" si="33"/>
        <v>0.17384799999999992</v>
      </c>
      <c r="O77" s="7">
        <f t="shared" si="34"/>
        <v>2776.9138490247483</v>
      </c>
      <c r="Z77" s="1" t="e">
        <f t="shared" si="35"/>
        <v>#DIV/0!</v>
      </c>
    </row>
    <row r="78" spans="1:26" x14ac:dyDescent="0.3">
      <c r="A78" s="12">
        <v>1.5</v>
      </c>
      <c r="B78" s="12">
        <v>-2</v>
      </c>
      <c r="C78" s="33">
        <v>-1.5759000000000001</v>
      </c>
      <c r="D78" s="33">
        <v>0.90344000000000002</v>
      </c>
      <c r="E78" s="29">
        <f t="shared" si="36"/>
        <v>3.0758999999999999</v>
      </c>
      <c r="F78" s="4">
        <f t="shared" si="37"/>
        <v>0.59655999999999998</v>
      </c>
      <c r="G78" s="12">
        <v>100</v>
      </c>
      <c r="H78" s="13">
        <v>100000</v>
      </c>
      <c r="I78" s="13">
        <f t="shared" si="38"/>
        <v>4.2409999999999991E-3</v>
      </c>
      <c r="J78" s="13">
        <f t="shared" si="39"/>
        <v>9.0343999999999994E-6</v>
      </c>
      <c r="K78" s="7">
        <f t="shared" si="32"/>
        <v>469.42796422562645</v>
      </c>
      <c r="L78" s="60"/>
      <c r="M78" s="18">
        <f>L72/I78</f>
        <v>4480.0754539023828</v>
      </c>
      <c r="N78" s="13">
        <f t="shared" si="33"/>
        <v>0.16963999999999996</v>
      </c>
      <c r="O78" s="7">
        <f t="shared" si="34"/>
        <v>2767.200920924467</v>
      </c>
      <c r="Z78" s="1" t="e">
        <f t="shared" si="35"/>
        <v>#DIV/0!</v>
      </c>
    </row>
    <row r="79" spans="1:26" x14ac:dyDescent="0.3">
      <c r="A79" s="12">
        <v>1.5</v>
      </c>
      <c r="B79" s="12">
        <v>-1.5</v>
      </c>
      <c r="C79" s="33">
        <v>-1.0849</v>
      </c>
      <c r="D79" s="33">
        <v>0.9012</v>
      </c>
      <c r="E79" s="29">
        <f t="shared" si="36"/>
        <v>2.5849000000000002</v>
      </c>
      <c r="F79" s="4">
        <f t="shared" si="37"/>
        <v>0.5988</v>
      </c>
      <c r="G79" s="12">
        <v>100</v>
      </c>
      <c r="H79" s="13">
        <v>100000</v>
      </c>
      <c r="I79" s="13">
        <f t="shared" si="38"/>
        <v>4.1510000000000002E-3</v>
      </c>
      <c r="J79" s="13">
        <f t="shared" si="39"/>
        <v>9.0119999999999994E-6</v>
      </c>
      <c r="K79" s="7">
        <f t="shared" si="32"/>
        <v>460.60807811806484</v>
      </c>
      <c r="L79" s="60"/>
      <c r="M79" s="18">
        <f>L72/I79</f>
        <v>4577.2103107684898</v>
      </c>
      <c r="N79" s="13">
        <f t="shared" si="33"/>
        <v>0.16603999999999999</v>
      </c>
      <c r="O79" s="7">
        <f t="shared" si="34"/>
        <v>2774.0790057700847</v>
      </c>
      <c r="Z79" s="1" t="e">
        <f t="shared" si="35"/>
        <v>#DIV/0!</v>
      </c>
    </row>
    <row r="80" spans="1:26" x14ac:dyDescent="0.3">
      <c r="A80" s="12">
        <v>1.5</v>
      </c>
      <c r="B80" s="12">
        <v>-1</v>
      </c>
      <c r="C80" s="33">
        <v>-0.59196000000000004</v>
      </c>
      <c r="D80" s="33">
        <v>0.90314000000000005</v>
      </c>
      <c r="E80" s="29">
        <f t="shared" si="36"/>
        <v>2.0919600000000003</v>
      </c>
      <c r="F80" s="4">
        <f t="shared" si="37"/>
        <v>0.59685999999999995</v>
      </c>
      <c r="G80" s="12">
        <v>100</v>
      </c>
      <c r="H80" s="13">
        <v>100000</v>
      </c>
      <c r="I80" s="13">
        <f t="shared" si="38"/>
        <v>4.0803999999999997E-3</v>
      </c>
      <c r="J80" s="13">
        <f t="shared" si="39"/>
        <v>9.0314000000000013E-6</v>
      </c>
      <c r="K80" s="7">
        <f t="shared" si="32"/>
        <v>451.8014925703655</v>
      </c>
      <c r="L80" s="60"/>
      <c r="M80" s="18">
        <f>L72/I80</f>
        <v>4656.406234682875</v>
      </c>
      <c r="N80" s="13">
        <f t="shared" si="33"/>
        <v>0.16321599999999997</v>
      </c>
      <c r="O80" s="7">
        <f t="shared" si="34"/>
        <v>2768.1201142679979</v>
      </c>
      <c r="Z80" s="1" t="e">
        <f t="shared" si="35"/>
        <v>#DIV/0!</v>
      </c>
    </row>
    <row r="81" spans="1:26" x14ac:dyDescent="0.3">
      <c r="A81" s="62">
        <v>1.5</v>
      </c>
      <c r="B81" s="62">
        <v>-0.5</v>
      </c>
      <c r="C81" s="63">
        <v>-9.8220000000000002E-2</v>
      </c>
      <c r="D81" s="63">
        <v>0.89900000000000002</v>
      </c>
      <c r="E81" s="83">
        <f t="shared" si="36"/>
        <v>1.59822</v>
      </c>
      <c r="F81" s="84">
        <f t="shared" si="37"/>
        <v>0.60099999999999998</v>
      </c>
      <c r="G81" s="62">
        <v>100</v>
      </c>
      <c r="H81" s="64">
        <v>100000</v>
      </c>
      <c r="I81" s="64">
        <f t="shared" si="38"/>
        <v>4.0178000000000002E-3</v>
      </c>
      <c r="J81" s="64">
        <f t="shared" si="39"/>
        <v>8.9900000000000003E-6</v>
      </c>
      <c r="K81" s="65">
        <f t="shared" si="32"/>
        <v>446.91879866518354</v>
      </c>
      <c r="L81" s="60"/>
      <c r="M81" s="66">
        <f>L72/I81</f>
        <v>4728.956145154064</v>
      </c>
      <c r="N81" s="64">
        <f t="shared" si="33"/>
        <v>0.16071199999999999</v>
      </c>
      <c r="O81" s="65">
        <f t="shared" si="34"/>
        <v>2780.8676307007786</v>
      </c>
      <c r="Z81" s="1" t="e">
        <f t="shared" si="35"/>
        <v>#DIV/0!</v>
      </c>
    </row>
    <row r="82" spans="1:26" x14ac:dyDescent="0.3">
      <c r="A82" s="8">
        <v>1</v>
      </c>
      <c r="B82" s="8">
        <v>-5</v>
      </c>
      <c r="C82" s="30">
        <v>-4.7680600000000002</v>
      </c>
      <c r="D82" s="30">
        <v>0.42523999999999901</v>
      </c>
      <c r="E82" s="26">
        <f>A82-C82</f>
        <v>5.7680600000000002</v>
      </c>
      <c r="F82" s="2">
        <f>A82-D82</f>
        <v>0.57476000000000105</v>
      </c>
      <c r="G82" s="8">
        <v>100</v>
      </c>
      <c r="H82" s="9">
        <v>100000</v>
      </c>
      <c r="I82" s="9">
        <f>(C82-B82)/G82</f>
        <v>2.3193999999999979E-3</v>
      </c>
      <c r="J82" s="9">
        <f>(D82-0)/H82</f>
        <v>4.25239999999999E-6</v>
      </c>
      <c r="K82" s="5">
        <f t="shared" si="32"/>
        <v>545.43316715266758</v>
      </c>
      <c r="L82" s="55">
        <f>Z83</f>
        <v>23.749999999999996</v>
      </c>
      <c r="M82" s="16">
        <f>L82/I82</f>
        <v>10239.717168233172</v>
      </c>
      <c r="N82" s="9">
        <f t="shared" si="33"/>
        <v>9.2775999999999914E-2</v>
      </c>
      <c r="O82" s="5">
        <f t="shared" si="34"/>
        <v>5879.0330166494359</v>
      </c>
      <c r="Z82" s="1" t="e">
        <f t="shared" si="35"/>
        <v>#DIV/0!</v>
      </c>
    </row>
    <row r="83" spans="1:26" x14ac:dyDescent="0.3">
      <c r="A83" s="8">
        <v>1</v>
      </c>
      <c r="B83" s="8">
        <v>-4.5</v>
      </c>
      <c r="C83" s="30">
        <v>-4.27142</v>
      </c>
      <c r="D83" s="30">
        <v>0.42668</v>
      </c>
      <c r="E83" s="26">
        <f t="shared" ref="E83:E91" si="40">A83-C83</f>
        <v>5.27142</v>
      </c>
      <c r="F83" s="2">
        <f t="shared" ref="F83:F91" si="41">A83-D83</f>
        <v>0.57332000000000005</v>
      </c>
      <c r="G83" s="8">
        <v>100</v>
      </c>
      <c r="H83" s="9">
        <v>100000</v>
      </c>
      <c r="I83" s="9">
        <f t="shared" ref="I83:I91" si="42">(C83-B83)/G83</f>
        <v>2.2858000000000002E-3</v>
      </c>
      <c r="J83" s="9">
        <f t="shared" ref="J83:J91" si="43">(D83-0)/H83</f>
        <v>4.2668000000000004E-6</v>
      </c>
      <c r="K83" s="5">
        <f t="shared" si="32"/>
        <v>535.71763382394295</v>
      </c>
      <c r="L83" s="61"/>
      <c r="M83" s="16">
        <f>L82/I83</f>
        <v>10390.235366173767</v>
      </c>
      <c r="N83" s="9">
        <f t="shared" si="33"/>
        <v>9.1431999999999999E-2</v>
      </c>
      <c r="O83" s="5">
        <f t="shared" si="34"/>
        <v>5859.1919002531167</v>
      </c>
      <c r="X83" s="38">
        <v>8.0000000000000007E-5</v>
      </c>
      <c r="Y83" s="37">
        <v>1.9E-3</v>
      </c>
      <c r="Z83" s="37">
        <f t="shared" si="35"/>
        <v>23.749999999999996</v>
      </c>
    </row>
    <row r="84" spans="1:26" x14ac:dyDescent="0.3">
      <c r="A84" s="8">
        <v>1</v>
      </c>
      <c r="B84" s="8">
        <v>-4</v>
      </c>
      <c r="C84" s="30">
        <v>-3.77494</v>
      </c>
      <c r="D84" s="30">
        <v>0.42437999999999998</v>
      </c>
      <c r="E84" s="26">
        <f t="shared" si="40"/>
        <v>4.77494</v>
      </c>
      <c r="F84" s="2">
        <f t="shared" si="41"/>
        <v>0.57562000000000002</v>
      </c>
      <c r="G84" s="8">
        <v>100</v>
      </c>
      <c r="H84" s="9">
        <v>100000</v>
      </c>
      <c r="I84" s="9">
        <f t="shared" si="42"/>
        <v>2.2506000000000002E-3</v>
      </c>
      <c r="J84" s="9">
        <f t="shared" si="43"/>
        <v>4.2437999999999999E-6</v>
      </c>
      <c r="K84" s="5">
        <f t="shared" si="32"/>
        <v>530.32659409020221</v>
      </c>
      <c r="L84" s="61"/>
      <c r="M84" s="16">
        <f>L82/I84</f>
        <v>10552.741491157911</v>
      </c>
      <c r="N84" s="9">
        <f t="shared" si="33"/>
        <v>9.0024000000000007E-2</v>
      </c>
      <c r="O84" s="5">
        <f t="shared" si="34"/>
        <v>5890.9467929685661</v>
      </c>
      <c r="Z84" s="1" t="e">
        <f t="shared" si="35"/>
        <v>#DIV/0!</v>
      </c>
    </row>
    <row r="85" spans="1:26" x14ac:dyDescent="0.3">
      <c r="A85" s="8">
        <v>1</v>
      </c>
      <c r="B85" s="8">
        <v>-3.5</v>
      </c>
      <c r="C85" s="30">
        <v>-3.2783799999999998</v>
      </c>
      <c r="D85" s="30">
        <v>0.42834</v>
      </c>
      <c r="E85" s="26">
        <f t="shared" si="40"/>
        <v>4.2783800000000003</v>
      </c>
      <c r="F85" s="2">
        <f t="shared" si="41"/>
        <v>0.57166000000000006</v>
      </c>
      <c r="G85" s="8">
        <v>100</v>
      </c>
      <c r="H85" s="9">
        <v>100000</v>
      </c>
      <c r="I85" s="9">
        <f t="shared" si="42"/>
        <v>2.2162000000000015E-3</v>
      </c>
      <c r="J85" s="9">
        <f t="shared" si="43"/>
        <v>4.2834000000000004E-6</v>
      </c>
      <c r="K85" s="5">
        <f t="shared" si="32"/>
        <v>517.39272540505237</v>
      </c>
      <c r="L85" s="61"/>
      <c r="M85" s="16">
        <f>L82/I85</f>
        <v>10716.541828354833</v>
      </c>
      <c r="N85" s="9">
        <f t="shared" si="33"/>
        <v>8.864800000000006E-2</v>
      </c>
      <c r="O85" s="5">
        <f t="shared" si="34"/>
        <v>5836.485035252369</v>
      </c>
      <c r="Z85" s="1" t="e">
        <f t="shared" si="35"/>
        <v>#DIV/0!</v>
      </c>
    </row>
    <row r="86" spans="1:26" x14ac:dyDescent="0.3">
      <c r="A86" s="8">
        <v>1</v>
      </c>
      <c r="B86" s="8">
        <v>-3</v>
      </c>
      <c r="C86" s="30">
        <v>-2.7766199999999999</v>
      </c>
      <c r="D86" s="30">
        <v>0.42258000000000001</v>
      </c>
      <c r="E86" s="26">
        <f t="shared" si="40"/>
        <v>3.7766199999999999</v>
      </c>
      <c r="F86" s="2">
        <f t="shared" si="41"/>
        <v>0.57742000000000004</v>
      </c>
      <c r="G86" s="8">
        <v>100</v>
      </c>
      <c r="H86" s="9">
        <v>100000</v>
      </c>
      <c r="I86" s="9">
        <f t="shared" si="42"/>
        <v>2.2338000000000015E-3</v>
      </c>
      <c r="J86" s="9">
        <f t="shared" si="43"/>
        <v>4.2258000000000003E-6</v>
      </c>
      <c r="K86" s="5">
        <f t="shared" si="32"/>
        <v>528.6099673434619</v>
      </c>
      <c r="L86" s="61"/>
      <c r="M86" s="16">
        <f>L82/I86</f>
        <v>10632.106723968118</v>
      </c>
      <c r="N86" s="9">
        <f t="shared" si="33"/>
        <v>8.9352000000000056E-2</v>
      </c>
      <c r="O86" s="5">
        <f t="shared" si="34"/>
        <v>5916.0395664726202</v>
      </c>
      <c r="Z86" s="1" t="e">
        <f t="shared" si="35"/>
        <v>#DIV/0!</v>
      </c>
    </row>
    <row r="87" spans="1:26" x14ac:dyDescent="0.3">
      <c r="A87" s="8">
        <v>1</v>
      </c>
      <c r="B87" s="8">
        <v>-2.5</v>
      </c>
      <c r="C87" s="30">
        <v>-2.2810999999999999</v>
      </c>
      <c r="D87" s="30">
        <v>0.42083999999999999</v>
      </c>
      <c r="E87" s="26">
        <f t="shared" si="40"/>
        <v>3.2810999999999999</v>
      </c>
      <c r="F87" s="2">
        <f t="shared" si="41"/>
        <v>0.57916000000000001</v>
      </c>
      <c r="G87" s="8">
        <v>100</v>
      </c>
      <c r="H87" s="9">
        <v>100000</v>
      </c>
      <c r="I87" s="9">
        <f t="shared" si="42"/>
        <v>2.1890000000000008E-3</v>
      </c>
      <c r="J87" s="9">
        <f t="shared" si="43"/>
        <v>4.2084000000000002E-6</v>
      </c>
      <c r="K87" s="5">
        <f t="shared" si="32"/>
        <v>520.15017583879876</v>
      </c>
      <c r="L87" s="61"/>
      <c r="M87" s="16">
        <f>L82/I87</f>
        <v>10849.703060758331</v>
      </c>
      <c r="N87" s="9">
        <f t="shared" si="33"/>
        <v>8.7560000000000027E-2</v>
      </c>
      <c r="O87" s="5">
        <f t="shared" si="34"/>
        <v>5940.4999524760005</v>
      </c>
      <c r="Z87" s="1" t="e">
        <f t="shared" si="35"/>
        <v>#DIV/0!</v>
      </c>
    </row>
    <row r="88" spans="1:26" x14ac:dyDescent="0.3">
      <c r="A88" s="8">
        <v>1</v>
      </c>
      <c r="B88" s="8">
        <v>-2</v>
      </c>
      <c r="C88" s="30">
        <v>-1.78834</v>
      </c>
      <c r="D88" s="30">
        <v>0.42531999999999998</v>
      </c>
      <c r="E88" s="26">
        <f t="shared" si="40"/>
        <v>2.7883399999999998</v>
      </c>
      <c r="F88" s="2">
        <f t="shared" si="41"/>
        <v>0.57468000000000008</v>
      </c>
      <c r="G88" s="8">
        <v>100</v>
      </c>
      <c r="H88" s="9">
        <v>100000</v>
      </c>
      <c r="I88" s="9">
        <f t="shared" si="42"/>
        <v>2.1165999999999997E-3</v>
      </c>
      <c r="J88" s="9">
        <f t="shared" si="43"/>
        <v>4.2531999999999994E-6</v>
      </c>
      <c r="K88" s="5">
        <f t="shared" si="32"/>
        <v>497.64882911690023</v>
      </c>
      <c r="L88" s="61"/>
      <c r="M88" s="16">
        <f>L82/I88</f>
        <v>11220.825852782764</v>
      </c>
      <c r="N88" s="9">
        <f t="shared" si="33"/>
        <v>8.4663999999999989E-2</v>
      </c>
      <c r="O88" s="5">
        <f t="shared" si="34"/>
        <v>5877.9272077494606</v>
      </c>
      <c r="Z88" s="1" t="e">
        <f t="shared" si="35"/>
        <v>#DIV/0!</v>
      </c>
    </row>
    <row r="89" spans="1:26" x14ac:dyDescent="0.3">
      <c r="A89" s="8">
        <v>1</v>
      </c>
      <c r="B89" s="8">
        <v>-1.5</v>
      </c>
      <c r="C89" s="30">
        <v>-1.29328</v>
      </c>
      <c r="D89" s="30">
        <v>0.42283999999999999</v>
      </c>
      <c r="E89" s="26">
        <f t="shared" si="40"/>
        <v>2.2932800000000002</v>
      </c>
      <c r="F89" s="2">
        <f t="shared" si="41"/>
        <v>0.57716000000000001</v>
      </c>
      <c r="G89" s="8">
        <v>100</v>
      </c>
      <c r="H89" s="9">
        <v>100000</v>
      </c>
      <c r="I89" s="9">
        <f t="shared" si="42"/>
        <v>2.0671999999999999E-3</v>
      </c>
      <c r="J89" s="9">
        <f t="shared" si="43"/>
        <v>4.2284E-6</v>
      </c>
      <c r="K89" s="5">
        <f t="shared" si="32"/>
        <v>488.88468451423705</v>
      </c>
      <c r="L89" s="61"/>
      <c r="M89" s="16">
        <f>L82/I89</f>
        <v>11488.970588235292</v>
      </c>
      <c r="N89" s="9">
        <f t="shared" si="33"/>
        <v>8.2687999999999998E-2</v>
      </c>
      <c r="O89" s="5">
        <f t="shared" si="34"/>
        <v>5912.4018541292216</v>
      </c>
      <c r="Z89" s="1" t="e">
        <f t="shared" si="35"/>
        <v>#DIV/0!</v>
      </c>
    </row>
    <row r="90" spans="1:26" x14ac:dyDescent="0.3">
      <c r="A90" s="8">
        <v>1</v>
      </c>
      <c r="B90" s="8">
        <v>-1</v>
      </c>
      <c r="C90" s="30">
        <v>-0.79720000000000002</v>
      </c>
      <c r="D90" s="30">
        <v>0.42149999999999999</v>
      </c>
      <c r="E90" s="26">
        <f t="shared" si="40"/>
        <v>1.7972000000000001</v>
      </c>
      <c r="F90" s="2">
        <f t="shared" si="41"/>
        <v>0.57850000000000001</v>
      </c>
      <c r="G90" s="8">
        <v>100</v>
      </c>
      <c r="H90" s="9">
        <v>100000</v>
      </c>
      <c r="I90" s="9">
        <f t="shared" si="42"/>
        <v>2.0279999999999999E-3</v>
      </c>
      <c r="J90" s="9">
        <f t="shared" si="43"/>
        <v>4.2149999999999995E-6</v>
      </c>
      <c r="K90" s="5">
        <f t="shared" si="32"/>
        <v>481.13879003558719</v>
      </c>
      <c r="L90" s="61"/>
      <c r="M90" s="16">
        <f>L82/I90</f>
        <v>11711.045364891517</v>
      </c>
      <c r="N90" s="9">
        <f t="shared" si="33"/>
        <v>8.1119999999999984E-2</v>
      </c>
      <c r="O90" s="5">
        <f t="shared" si="34"/>
        <v>5931.1981020166086</v>
      </c>
      <c r="Z90" s="1" t="e">
        <f t="shared" si="35"/>
        <v>#DIV/0!</v>
      </c>
    </row>
    <row r="91" spans="1:26" x14ac:dyDescent="0.3">
      <c r="A91" s="8">
        <v>1</v>
      </c>
      <c r="B91" s="8">
        <v>-0.5</v>
      </c>
      <c r="C91" s="30">
        <v>-0.30431999999999998</v>
      </c>
      <c r="D91" s="30">
        <v>0.42083999999999999</v>
      </c>
      <c r="E91" s="26">
        <f t="shared" si="40"/>
        <v>1.3043199999999999</v>
      </c>
      <c r="F91" s="2">
        <f t="shared" si="41"/>
        <v>0.57916000000000001</v>
      </c>
      <c r="G91" s="8">
        <v>100</v>
      </c>
      <c r="H91" s="9">
        <v>100000</v>
      </c>
      <c r="I91" s="9">
        <f t="shared" si="42"/>
        <v>1.9568000000000003E-3</v>
      </c>
      <c r="J91" s="9">
        <f t="shared" si="43"/>
        <v>4.2084000000000002E-6</v>
      </c>
      <c r="K91" s="5">
        <f t="shared" si="32"/>
        <v>464.97481228020155</v>
      </c>
      <c r="L91" s="61"/>
      <c r="M91" s="16">
        <f>L82/I91</f>
        <v>12137.162714636137</v>
      </c>
      <c r="N91" s="9">
        <f t="shared" si="33"/>
        <v>7.8272000000000008E-2</v>
      </c>
      <c r="O91" s="5">
        <f t="shared" si="34"/>
        <v>5940.4999524760005</v>
      </c>
      <c r="Z91" s="1" t="e">
        <f t="shared" si="35"/>
        <v>#DIV/0!</v>
      </c>
    </row>
  </sheetData>
  <mergeCells count="9">
    <mergeCell ref="L62:L71"/>
    <mergeCell ref="L72:L81"/>
    <mergeCell ref="L82:L91"/>
    <mergeCell ref="L22:L31"/>
    <mergeCell ref="L2:L11"/>
    <mergeCell ref="L12:L21"/>
    <mergeCell ref="L32:L41"/>
    <mergeCell ref="L42:L51"/>
    <mergeCell ref="L52:L6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8E2B2-8DB4-4262-B596-02A19E4F15B9}">
  <dimension ref="A1:S21"/>
  <sheetViews>
    <sheetView tabSelected="1" topLeftCell="B1" workbookViewId="0">
      <selection activeCell="J29" sqref="J29"/>
    </sheetView>
  </sheetViews>
  <sheetFormatPr defaultRowHeight="14.4" x14ac:dyDescent="0.3"/>
  <cols>
    <col min="1" max="1" width="13.6640625" bestFit="1" customWidth="1"/>
    <col min="2" max="2" width="17.33203125" customWidth="1"/>
    <col min="3" max="3" width="16.21875" customWidth="1"/>
    <col min="5" max="5" width="8" bestFit="1" customWidth="1"/>
    <col min="6" max="6" width="6.44140625" bestFit="1" customWidth="1"/>
    <col min="7" max="7" width="12" bestFit="1" customWidth="1"/>
    <col min="8" max="8" width="12.6640625" bestFit="1" customWidth="1"/>
    <col min="9" max="9" width="9.109375" bestFit="1" customWidth="1"/>
    <col min="10" max="10" width="11.21875" bestFit="1" customWidth="1"/>
    <col min="11" max="11" width="8.44140625" bestFit="1" customWidth="1"/>
    <col min="12" max="12" width="8.5546875" bestFit="1" customWidth="1"/>
    <col min="13" max="14" width="8.21875" bestFit="1" customWidth="1"/>
    <col min="15" max="15" width="8.109375" bestFit="1" customWidth="1"/>
    <col min="16" max="16" width="7.6640625" bestFit="1" customWidth="1"/>
    <col min="17" max="17" width="8.5546875" bestFit="1" customWidth="1"/>
    <col min="18" max="18" width="12.44140625" bestFit="1" customWidth="1"/>
    <col min="19" max="19" width="11.77734375" bestFit="1" customWidth="1"/>
  </cols>
  <sheetData>
    <row r="1" spans="1:19" x14ac:dyDescent="0.3">
      <c r="A1" t="s">
        <v>30</v>
      </c>
      <c r="B1" t="s">
        <v>31</v>
      </c>
      <c r="C1" t="s">
        <v>32</v>
      </c>
    </row>
    <row r="2" spans="1:19" x14ac:dyDescent="0.3">
      <c r="A2">
        <v>0.5</v>
      </c>
      <c r="B2">
        <v>-4.3063322518605496</v>
      </c>
      <c r="C2">
        <v>-5.8052830794232901E-2</v>
      </c>
    </row>
    <row r="3" spans="1:19" x14ac:dyDescent="0.3">
      <c r="A3">
        <v>1</v>
      </c>
      <c r="B3">
        <v>-4.3063322515563804</v>
      </c>
      <c r="C3">
        <v>0.44164747065033699</v>
      </c>
    </row>
    <row r="4" spans="1:19" ht="15" thickBot="1" x14ac:dyDescent="0.35">
      <c r="A4">
        <v>1.5</v>
      </c>
      <c r="B4">
        <v>-4.3063322512192999</v>
      </c>
      <c r="C4">
        <v>0.941347772008443</v>
      </c>
    </row>
    <row r="5" spans="1:19" x14ac:dyDescent="0.3">
      <c r="A5">
        <v>2</v>
      </c>
      <c r="B5">
        <v>-4.3063322508489996</v>
      </c>
      <c r="C5">
        <v>1.4410480732761</v>
      </c>
      <c r="E5" s="67" t="s">
        <v>0</v>
      </c>
      <c r="F5" s="68" t="s">
        <v>1</v>
      </c>
      <c r="G5" s="69" t="s">
        <v>2</v>
      </c>
      <c r="H5" s="69" t="s">
        <v>3</v>
      </c>
      <c r="I5" s="68" t="s">
        <v>4</v>
      </c>
      <c r="J5" s="68" t="s">
        <v>5</v>
      </c>
      <c r="K5" s="68" t="s">
        <v>6</v>
      </c>
      <c r="L5" s="68" t="s">
        <v>7</v>
      </c>
      <c r="M5" s="70" t="s">
        <v>8</v>
      </c>
      <c r="N5" s="70" t="s">
        <v>9</v>
      </c>
      <c r="O5" s="71" t="s">
        <v>10</v>
      </c>
      <c r="P5" s="71" t="s">
        <v>11</v>
      </c>
      <c r="Q5" s="71" t="s">
        <v>12</v>
      </c>
      <c r="R5" s="70" t="s">
        <v>13</v>
      </c>
      <c r="S5" s="72" t="s">
        <v>14</v>
      </c>
    </row>
    <row r="6" spans="1:19" ht="15" thickBot="1" x14ac:dyDescent="0.35">
      <c r="A6">
        <v>2.5</v>
      </c>
      <c r="B6">
        <v>-4.3063322504458696</v>
      </c>
      <c r="C6">
        <v>1.94074837445808</v>
      </c>
      <c r="E6" s="73">
        <v>0.5</v>
      </c>
      <c r="F6" s="74">
        <v>-1.5</v>
      </c>
      <c r="G6" s="74">
        <v>0.39755829599999998</v>
      </c>
      <c r="H6" s="74">
        <v>-0.87868933100000002</v>
      </c>
      <c r="I6" s="75">
        <f>G6-F6</f>
        <v>1.8975582959999999</v>
      </c>
      <c r="J6" s="75">
        <f>H6-F6</f>
        <v>0.62131066899999998</v>
      </c>
      <c r="K6" s="74">
        <v>100</v>
      </c>
      <c r="L6" s="76">
        <v>100000</v>
      </c>
      <c r="M6" s="76">
        <f>(E6-G6)/K6</f>
        <v>1.0244170400000002E-3</v>
      </c>
      <c r="N6" s="76">
        <f>(0-H6)/L6</f>
        <v>8.7868933099999993E-6</v>
      </c>
      <c r="O6" s="77">
        <f>M6/N6</f>
        <v>116.5846680799178</v>
      </c>
      <c r="P6" s="78">
        <v>1000</v>
      </c>
      <c r="Q6" s="79">
        <f>P6/M6</f>
        <v>976164.94157496619</v>
      </c>
      <c r="R6" s="76">
        <f>M6/0.025</f>
        <v>4.0976681600000002E-2</v>
      </c>
      <c r="S6" s="80">
        <f>0.025/N6</f>
        <v>2845.1466426192446</v>
      </c>
    </row>
    <row r="7" spans="1:19" x14ac:dyDescent="0.3">
      <c r="A7">
        <v>3</v>
      </c>
      <c r="B7">
        <v>-4.3063322500093903</v>
      </c>
      <c r="C7">
        <v>2.4404486755478101</v>
      </c>
    </row>
    <row r="8" spans="1:19" x14ac:dyDescent="0.3">
      <c r="A8">
        <v>3.5</v>
      </c>
      <c r="B8">
        <v>-4.3063322495400298</v>
      </c>
      <c r="C8">
        <v>2.9401489765510398</v>
      </c>
    </row>
    <row r="9" spans="1:19" ht="15" thickBot="1" x14ac:dyDescent="0.35">
      <c r="A9">
        <v>4</v>
      </c>
      <c r="B9">
        <v>-4.3063322490376503</v>
      </c>
      <c r="C9">
        <v>3.4398492774660299</v>
      </c>
    </row>
    <row r="10" spans="1:19" x14ac:dyDescent="0.3">
      <c r="A10">
        <v>4.5</v>
      </c>
      <c r="B10">
        <v>-4.3063322485021303</v>
      </c>
      <c r="C10">
        <v>3.9395495782908498</v>
      </c>
      <c r="E10" s="67" t="s">
        <v>0</v>
      </c>
      <c r="F10" s="68" t="s">
        <v>1</v>
      </c>
      <c r="G10" s="69" t="s">
        <v>2</v>
      </c>
      <c r="H10" s="69" t="s">
        <v>3</v>
      </c>
      <c r="I10" s="68" t="s">
        <v>4</v>
      </c>
      <c r="J10" s="68" t="s">
        <v>5</v>
      </c>
      <c r="K10" s="68" t="s">
        <v>6</v>
      </c>
      <c r="L10" s="68" t="s">
        <v>7</v>
      </c>
      <c r="M10" s="70" t="s">
        <v>8</v>
      </c>
      <c r="N10" s="70" t="s">
        <v>9</v>
      </c>
      <c r="O10" s="71" t="s">
        <v>10</v>
      </c>
      <c r="P10" s="71" t="s">
        <v>11</v>
      </c>
      <c r="Q10" s="71" t="s">
        <v>12</v>
      </c>
      <c r="R10" s="70" t="s">
        <v>13</v>
      </c>
      <c r="S10" s="72" t="s">
        <v>14</v>
      </c>
    </row>
    <row r="11" spans="1:19" ht="15" thickBot="1" x14ac:dyDescent="0.35">
      <c r="A11">
        <v>5</v>
      </c>
      <c r="B11">
        <v>-4.3063322479336099</v>
      </c>
      <c r="C11">
        <v>4.4392498790272104</v>
      </c>
      <c r="E11" s="73">
        <v>1</v>
      </c>
      <c r="F11" s="74">
        <v>-1.5</v>
      </c>
      <c r="G11" s="74">
        <v>0.76768000000000003</v>
      </c>
      <c r="H11" s="74">
        <v>-0.82145999999999897</v>
      </c>
      <c r="I11" s="74">
        <f>G11-F11</f>
        <v>2.2676799999999999</v>
      </c>
      <c r="J11" s="74">
        <f>H11-F11</f>
        <v>0.67854000000000103</v>
      </c>
      <c r="K11" s="74">
        <v>100</v>
      </c>
      <c r="L11" s="76">
        <v>100000</v>
      </c>
      <c r="M11" s="76">
        <f>(E11-G11)/K11</f>
        <v>2.3231999999999997E-3</v>
      </c>
      <c r="N11" s="76">
        <f>(0-H11)/L11</f>
        <v>8.2145999999999891E-6</v>
      </c>
      <c r="O11" s="77">
        <f>M11/N11</f>
        <v>282.81352713461433</v>
      </c>
      <c r="P11" s="82">
        <v>55</v>
      </c>
      <c r="Q11" s="79">
        <v>27300</v>
      </c>
      <c r="R11" s="76">
        <f>M11/0.025</f>
        <v>9.2927999999999983E-2</v>
      </c>
      <c r="S11" s="80">
        <f>0.025/N11</f>
        <v>3043.3618191999653</v>
      </c>
    </row>
    <row r="14" spans="1:19" ht="15" thickBot="1" x14ac:dyDescent="0.35"/>
    <row r="15" spans="1:19" x14ac:dyDescent="0.3">
      <c r="E15" s="67" t="s">
        <v>26</v>
      </c>
      <c r="F15" s="68" t="s">
        <v>27</v>
      </c>
      <c r="G15" s="69" t="s">
        <v>2</v>
      </c>
      <c r="H15" s="69" t="s">
        <v>3</v>
      </c>
      <c r="I15" s="85" t="s">
        <v>28</v>
      </c>
      <c r="J15" s="69" t="s">
        <v>29</v>
      </c>
      <c r="K15" s="68" t="s">
        <v>6</v>
      </c>
      <c r="L15" s="68" t="s">
        <v>7</v>
      </c>
      <c r="M15" s="68" t="s">
        <v>8</v>
      </c>
      <c r="N15" s="68" t="s">
        <v>9</v>
      </c>
      <c r="O15" s="68" t="s">
        <v>10</v>
      </c>
      <c r="P15" s="71" t="s">
        <v>11</v>
      </c>
      <c r="Q15" s="71" t="s">
        <v>12</v>
      </c>
      <c r="R15" s="70" t="s">
        <v>13</v>
      </c>
      <c r="S15" s="72" t="s">
        <v>14</v>
      </c>
    </row>
    <row r="16" spans="1:19" ht="15" thickBot="1" x14ac:dyDescent="0.35">
      <c r="E16" s="73">
        <v>1.5</v>
      </c>
      <c r="F16" s="74">
        <v>-0.5</v>
      </c>
      <c r="G16" s="82">
        <v>-0.397093315</v>
      </c>
      <c r="H16" s="82">
        <v>0.83993533899999995</v>
      </c>
      <c r="I16" s="86">
        <f>E16-G16</f>
        <v>1.897093315</v>
      </c>
      <c r="J16" s="75">
        <f>E16-H16</f>
        <v>0.66006466100000005</v>
      </c>
      <c r="K16" s="74">
        <v>100</v>
      </c>
      <c r="L16" s="76">
        <v>100000</v>
      </c>
      <c r="M16" s="76">
        <f>(G16-F16)/K16</f>
        <v>1.02906685E-3</v>
      </c>
      <c r="N16" s="76">
        <f>(H16-0)/L16</f>
        <v>8.3993533899999993E-6</v>
      </c>
      <c r="O16" s="77">
        <f>M16/N16</f>
        <v>122.51738940109057</v>
      </c>
      <c r="P16" s="82">
        <v>143</v>
      </c>
      <c r="Q16" s="87">
        <v>139000</v>
      </c>
      <c r="R16" s="76">
        <f>M16/0.025</f>
        <v>4.1162673999999996E-2</v>
      </c>
      <c r="S16" s="80">
        <f>0.025/N16</f>
        <v>2976.4195931753748</v>
      </c>
    </row>
    <row r="19" spans="5:19" ht="15" thickBot="1" x14ac:dyDescent="0.35"/>
    <row r="20" spans="5:19" x14ac:dyDescent="0.3">
      <c r="E20" s="67" t="s">
        <v>26</v>
      </c>
      <c r="F20" s="68" t="s">
        <v>27</v>
      </c>
      <c r="G20" s="69" t="s">
        <v>2</v>
      </c>
      <c r="H20" s="69" t="s">
        <v>3</v>
      </c>
      <c r="I20" s="85" t="s">
        <v>28</v>
      </c>
      <c r="J20" s="69" t="s">
        <v>29</v>
      </c>
      <c r="K20" s="68" t="s">
        <v>6</v>
      </c>
      <c r="L20" s="68" t="s">
        <v>7</v>
      </c>
      <c r="M20" s="68" t="s">
        <v>8</v>
      </c>
      <c r="N20" s="68" t="s">
        <v>9</v>
      </c>
      <c r="O20" s="68" t="s">
        <v>10</v>
      </c>
      <c r="P20" s="71" t="s">
        <v>11</v>
      </c>
      <c r="Q20" s="71" t="s">
        <v>12</v>
      </c>
      <c r="R20" s="70" t="s">
        <v>13</v>
      </c>
      <c r="S20" s="72" t="s">
        <v>14</v>
      </c>
    </row>
    <row r="21" spans="5:19" ht="15" thickBot="1" x14ac:dyDescent="0.35">
      <c r="E21" s="73">
        <v>1.5</v>
      </c>
      <c r="F21" s="74">
        <v>-0.5</v>
      </c>
      <c r="G21" s="74">
        <v>-9.8220000000000002E-2</v>
      </c>
      <c r="H21" s="74">
        <v>0.89900000000000002</v>
      </c>
      <c r="I21" s="86">
        <f t="shared" ref="I21" si="0">E21-G21</f>
        <v>1.59822</v>
      </c>
      <c r="J21" s="75">
        <f t="shared" ref="J21" si="1">E21-H21</f>
        <v>0.60099999999999998</v>
      </c>
      <c r="K21" s="74">
        <v>100</v>
      </c>
      <c r="L21" s="76">
        <v>100000</v>
      </c>
      <c r="M21" s="76">
        <f t="shared" ref="M21" si="2">(G21-F21)/K21</f>
        <v>4.0178000000000002E-3</v>
      </c>
      <c r="N21" s="76">
        <f t="shared" ref="N21" si="3">(H21-0)/L21</f>
        <v>8.9900000000000003E-6</v>
      </c>
      <c r="O21" s="77">
        <f t="shared" ref="O21" si="4">M21/N21</f>
        <v>446.91879866518354</v>
      </c>
      <c r="P21" s="82">
        <v>19</v>
      </c>
      <c r="Q21" s="79">
        <v>4730</v>
      </c>
      <c r="R21" s="76">
        <f t="shared" ref="R21" si="5">M21/0.025</f>
        <v>0.16071199999999999</v>
      </c>
      <c r="S21" s="80">
        <f t="shared" ref="S21" si="6">0.025/N21</f>
        <v>2780.8676307007786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9BCB1-169F-4F1F-A2D7-90645473FAC1}">
  <dimension ref="A1:C11"/>
  <sheetViews>
    <sheetView workbookViewId="0">
      <selection activeCell="C2" sqref="C2:C11"/>
    </sheetView>
  </sheetViews>
  <sheetFormatPr defaultRowHeight="14.4" x14ac:dyDescent="0.3"/>
  <cols>
    <col min="1" max="1" width="13.6640625" bestFit="1" customWidth="1"/>
    <col min="2" max="2" width="19.5546875" customWidth="1"/>
    <col min="3" max="3" width="15.5546875" customWidth="1"/>
    <col min="7" max="7" width="13.6640625" bestFit="1" customWidth="1"/>
    <col min="8" max="8" width="13.5546875" bestFit="1" customWidth="1"/>
    <col min="9" max="9" width="13.21875" bestFit="1" customWidth="1"/>
  </cols>
  <sheetData>
    <row r="1" spans="1:3" x14ac:dyDescent="0.3">
      <c r="A1" t="s">
        <v>30</v>
      </c>
      <c r="B1" t="s">
        <v>31</v>
      </c>
      <c r="C1" t="s">
        <v>33</v>
      </c>
    </row>
    <row r="2" spans="1:3" x14ac:dyDescent="0.3">
      <c r="A2">
        <v>-5</v>
      </c>
      <c r="B2">
        <v>4.2789288400806802</v>
      </c>
      <c r="C2">
        <v>-4.4341730499938601</v>
      </c>
    </row>
    <row r="3" spans="1:3" x14ac:dyDescent="0.3">
      <c r="A3">
        <v>-4.5</v>
      </c>
      <c r="B3">
        <v>4.2789288421276401</v>
      </c>
      <c r="C3">
        <v>-3.9361045279799698</v>
      </c>
    </row>
    <row r="4" spans="1:3" x14ac:dyDescent="0.3">
      <c r="A4">
        <v>-4</v>
      </c>
      <c r="B4">
        <v>4.2789288441444304</v>
      </c>
      <c r="C4">
        <v>-3.43803600591011</v>
      </c>
    </row>
    <row r="5" spans="1:3" x14ac:dyDescent="0.3">
      <c r="A5">
        <v>-3.5</v>
      </c>
      <c r="B5">
        <v>4.2789288461306301</v>
      </c>
      <c r="C5">
        <v>-2.93996748377868</v>
      </c>
    </row>
    <row r="6" spans="1:3" x14ac:dyDescent="0.3">
      <c r="A6">
        <v>-3</v>
      </c>
      <c r="B6">
        <v>4.2789288480862604</v>
      </c>
      <c r="C6">
        <v>-2.4418989615865101</v>
      </c>
    </row>
    <row r="7" spans="1:3" x14ac:dyDescent="0.3">
      <c r="A7">
        <v>-2.5</v>
      </c>
      <c r="B7">
        <v>4.2789288500117504</v>
      </c>
      <c r="C7">
        <v>-1.9438304393402099</v>
      </c>
    </row>
    <row r="8" spans="1:3" x14ac:dyDescent="0.3">
      <c r="A8">
        <v>-2</v>
      </c>
      <c r="B8">
        <v>4.27892885190656</v>
      </c>
      <c r="C8">
        <v>-1.44576191703252</v>
      </c>
    </row>
    <row r="9" spans="1:3" x14ac:dyDescent="0.3">
      <c r="A9">
        <v>-1.5</v>
      </c>
      <c r="B9">
        <v>4.2789288537710997</v>
      </c>
      <c r="C9">
        <v>-0.94769339466977898</v>
      </c>
    </row>
    <row r="10" spans="1:3" x14ac:dyDescent="0.3">
      <c r="A10">
        <v>-1</v>
      </c>
      <c r="B10">
        <v>4.2789288556053604</v>
      </c>
      <c r="C10">
        <v>-0.44962487225229297</v>
      </c>
    </row>
    <row r="11" spans="1:3" x14ac:dyDescent="0.3">
      <c r="A11">
        <v>-0.5</v>
      </c>
      <c r="B11">
        <v>4.2789288574089701</v>
      </c>
      <c r="C11">
        <v>4.8443650224504697E-2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48E2DCDBBF1046A5BEABD3555B9391" ma:contentTypeVersion="17" ma:contentTypeDescription="Create a new document." ma:contentTypeScope="" ma:versionID="ae99d4ecb00cf45848b78610c3422c26">
  <xsd:schema xmlns:xsd="http://www.w3.org/2001/XMLSchema" xmlns:xs="http://www.w3.org/2001/XMLSchema" xmlns:p="http://schemas.microsoft.com/office/2006/metadata/properties" xmlns:ns3="31954131-3b9d-4788-bced-05e625283a6b" xmlns:ns4="798ca34b-c1b8-4360-99a0-301c5faafad4" targetNamespace="http://schemas.microsoft.com/office/2006/metadata/properties" ma:root="true" ma:fieldsID="1f1f6c3342d44b967ba7f8635ed2a314" ns3:_="" ns4:_="">
    <xsd:import namespace="31954131-3b9d-4788-bced-05e625283a6b"/>
    <xsd:import namespace="798ca34b-c1b8-4360-99a0-301c5faafad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SearchProperties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954131-3b9d-4788-bced-05e625283a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8ca34b-c1b8-4360-99a0-301c5faafad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1954131-3b9d-4788-bced-05e625283a6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58E344-268C-4F31-BEC2-050CDD89586A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31954131-3b9d-4788-bced-05e625283a6b"/>
    <ds:schemaRef ds:uri="798ca34b-c1b8-4360-99a0-301c5faafad4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A964CC-A321-4A04-9D12-FF019F6D2732}">
  <ds:schemaRefs>
    <ds:schemaRef ds:uri="798ca34b-c1b8-4360-99a0-301c5faafad4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microsoft.com/office/2006/documentManagement/types"/>
    <ds:schemaRef ds:uri="31954131-3b9d-4788-bced-05e625283a6b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1CC7144B-69E1-4306-BA59-B492EDDF11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Steps 1.2-1.4</vt:lpstr>
      <vt:lpstr>Step 1.8</vt:lpstr>
      <vt:lpstr>Steps 2.2-2.4</vt:lpstr>
      <vt:lpstr>Step 2.8</vt:lpstr>
      <vt:lpstr>Part 1</vt:lpstr>
      <vt:lpstr>Part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Chih-Hung (James) Chen</dc:creator>
  <cp:keywords/>
  <dc:description/>
  <cp:lastModifiedBy>Jasmine Dosanjh</cp:lastModifiedBy>
  <cp:revision/>
  <dcterms:created xsi:type="dcterms:W3CDTF">2020-07-06T04:29:19Z</dcterms:created>
  <dcterms:modified xsi:type="dcterms:W3CDTF">2025-09-19T13:41:43Z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0x0101003A48E2DCDBBF1046A5BEABD3555B9391</vt:lpwstr>
  </property>
</Properties>
</file>